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82db30ab874511" /></Relationships>
</file>

<file path=xl/workbook.xml><?xml version="1.0" encoding="utf-8"?>
<x:workbook xmlns:x="http://schemas.openxmlformats.org/spreadsheetml/2006/main">
  <x:sheets>
    <x:sheet xmlns:r="http://schemas.openxmlformats.org/officeDocument/2006/relationships" name="Overview" sheetId="1" r:id="Ra7a01397be2d469e"/>
    <x:sheet xmlns:r="http://schemas.openxmlformats.org/officeDocument/2006/relationships" name="Changes" sheetId="2" r:id="R342136c8a5d54d1a"/>
    <x:sheet xmlns:r="http://schemas.openxmlformats.org/officeDocument/2006/relationships" name="Runtime Artifacts" sheetId="3" r:id="R19df146c73744f65"/>
    <x:sheet xmlns:r="http://schemas.openxmlformats.org/officeDocument/2006/relationships" name="Verification" sheetId="4" r:id="Rf51c91d4e8c94dfa"/>
    <x:sheet xmlns:r="http://schemas.openxmlformats.org/officeDocument/2006/relationships" name="Known Items" sheetId="5" r:id="Rffe5269158ad41a8"/>
    <x:sheet xmlns:r="http://schemas.openxmlformats.org/officeDocument/2006/relationships" name="Deployment Migrations" sheetId="6" r:id="R5a2132ac4858411c"/>
    <x:sheet xmlns:r="http://schemas.openxmlformats.org/officeDocument/2006/relationships" name="SRS Gap Mapping" sheetId="7" r:id="Rd7e262d489cf481e"/>
    <x:sheet xmlns:r="http://schemas.openxmlformats.org/officeDocument/2006/relationships" name="Classification Summary" sheetId="8" r:id="R1cb18491d1c44c0f"/>
  </x:sheets>
</x:workbook>
</file>

<file path=xl/sharedStrings.xml><?xml version="1.0" encoding="utf-8"?>
<x:sst xmlns:x="http://schemas.openxmlformats.org/spreadsheetml/2006/main">
  <x:si>
    <x:t xml:space="preserve">EDR Remediation — Change Log</x:t>
  </x:si>
  <x:si>
    <x:t xml:space="preserve">Summary of all code, configuration, Fabric/Docker and documentation changes applied to get the client solution running</x:t>
  </x:si>
  <x:si>
    <x:t xml:space="preserve">Prepared by</x:t>
  </x:si>
  <x:si>
    <x:t xml:space="preserve">Project Team</x:t>
  </x:si>
  <x:si>
    <x:t xml:space="preserve">Date</x:t>
  </x:si>
  <x:si>
    <x:t xml:space="preserve">Workspace</x:t>
  </x:si>
  <x:si>
    <x:t xml:space="preserve">C:\Workbench\EDR_Source</x:t>
  </x:si>
  <x:si>
    <x:t xml:space="preserve">Changes by Category</x:t>
  </x:si>
  <x:si>
    <x:t xml:space="preserve">Category</x:t>
  </x:si>
  <x:si>
    <x:t xml:space="preserve">Count</x:t>
  </x:si>
  <x:si>
    <x:t xml:space="preserve">Code</x:t>
  </x:si>
  <x:si>
    <x:t xml:space="preserve">Configuration</x:t>
  </x:si>
  <x:si>
    <x:t xml:space="preserve">Fabric / Docker</x:t>
  </x:si>
  <x:si>
    <x:t xml:space="preserve">Documentation</x:t>
  </x:si>
  <x:si>
    <x:t xml:space="preserve">Fabric Identity</x:t>
  </x:si>
  <x:si>
    <x:t xml:space="preserve">Fabric / Chaincode</x:t>
  </x:si>
  <x:si>
    <x:t xml:space="preserve">Tests / Deployment</x:t>
  </x:si>
  <x:si>
    <x:t xml:space="preserve">Database</x:t>
  </x:si>
  <x:si>
    <x:t xml:space="preserve">Total changes</x:t>
  </x:si>
  <x:si>
    <x:t xml:space="preserve">Other records</x:t>
  </x:si>
  <x:si>
    <x:t xml:space="preserve">Runtime artifacts</x:t>
  </x:si>
  <x:si>
    <x:t xml:space="preserve">Verification checks</x:t>
  </x:si>
  <x:si>
    <x:t xml:space="preserve">Known open items</x:t>
  </x:si>
  <x:si>
    <x:t xml:space="preserve">ID</x:t>
  </x:si>
  <x:si>
    <x:t xml:space="preserve">File</x:t>
  </x:si>
  <x:si>
    <x:t xml:space="preserve">Lines Changed</x:t>
  </x:si>
  <x:si>
    <x:t xml:space="preserve">Original Logic / Config</x:t>
  </x:si>
  <x:si>
    <x:t xml:space="preserve">Updated Logic / Config</x:t>
  </x:si>
  <x:si>
    <x:t xml:space="preserve">Reason / Fix</x:t>
  </x:si>
  <x:si>
    <x:t xml:space="preserve">Work Type</x:t>
  </x:si>
  <x:si>
    <x:t xml:space="preserve">Remediation Phase</x:t>
  </x:si>
  <x:si>
    <x:t xml:space="preserve">SRS Requirement / Scope</x:t>
  </x:si>
  <x:si>
    <x:t xml:space="preserve">Classification Basis</x:t>
  </x:si>
  <x:si>
    <x:t xml:space="preserve">C-01</x:t>
  </x:si>
  <x:si>
    <x:t xml:space="preserve">backend/server.js</x:t>
  </x:si>
  <x:si>
    <x:t xml:space="preserve">10-31, 127-131, 299-303</x:t>
  </x:si>
  <x:si>
    <x:t xml:space="preserve">JWT signing used process.env.JWT_SECRET || &lt;hardcoded fallback secret&gt;. If env was missing, the app silently used a bundled secret.</x:t>
  </x:si>
  <x:si>
    <x:t xml:space="preserve">SECRET_KEY must come from JWT_SECRET. Login and protected routes return a configuration error if it is missing.</x:t>
  </x:si>
  <x:si>
    <x:t xml:space="preserve">Removes unsafe hardcoded secret fallback and makes missing runtime config visible.</x:t>
  </x:si>
  <x:si>
    <x:t xml:space="preserve">Bug Fix</x:t>
  </x:si>
  <x:si>
    <x:t xml:space="preserve">Baseline Stabilization</x:t>
  </x:si>
  <x:si>
    <x:t xml:space="preserve">Supporting NFR reliability/usability; no net-new FR</x:t>
  </x:si>
  <x:si>
    <x:t xml:space="preserve">Existing behavior/configuration was present but defective, unsafe, inconsistent, or non-operational; the change restores intended behavior.</x:t>
  </x:si>
  <x:si>
    <x:t xml:space="preserve">C-02</x:t>
  </x:si>
  <x:si>
    <x:t xml:space="preserve">13-22</x:t>
  </x:si>
  <x:si>
    <x:t xml:space="preserve">CORS was hardcoded as origin: '*'.</x:t>
  </x:si>
  <x:si>
    <x:t xml:space="preserve">Added parseCorsOrigin() and reads comma-separated CORS_ORIGIN from env.</x:t>
  </x:si>
  <x:si>
    <x:t xml:space="preserve">Allows controlled frontend origins for 5173, 5174, and loopback variants instead of unrestricted CORS.</x:t>
  </x:si>
  <x:si>
    <x:t xml:space="preserve">C-03</x:t>
  </x:si>
  <x:si>
    <x:t xml:space="preserve">318-324</x:t>
  </x:si>
  <x:si>
    <x:t xml:space="preserve">/syncOnChainPatients always called http://localhost:8081/getAllPatients. This fails when the Database API runs in Docker because localhost points to the container.</x:t>
  </x:si>
  <x:si>
    <x:t xml:space="preserve">Added BLOCKCHAIN_API_URL and calls ${BLOCKCHAIN_API_URL}/getAllPatients.</x:t>
  </x:si>
  <x:si>
    <x:t xml:space="preserve">Makes the Database API able to reach the Blockchain API in host-run or container-run setups.</x:t>
  </x:si>
  <x:si>
    <x:t xml:space="preserve">C-04</x:t>
  </x:si>
  <x:si>
    <x:t xml:space="preserve">395-449</x:t>
  </x:si>
  <x:si>
    <x:t xml:space="preserve">Admin registration used nested callbacks. It inserted the user first and then inserted the admin row. If the organization already had an admin, user creation could be partially completed before the admin insert failed.</x:t>
  </x:si>
  <x:si>
    <x:t xml:space="preserve">Registration now uses an explicit DB connection, transaction, duplicate email check, duplicate organization-admin check, rollback, commit, and duplicate-key handling.</x:t>
  </x:si>
  <x:si>
    <x:t xml:space="preserve">Prevents partial registration records and returns a clean error when an organization already has an admin.</x:t>
  </x:si>
  <x:si>
    <x:t xml:space="preserve">C-05</x:t>
  </x:si>
  <x:si>
    <x:t xml:space="preserve">dental-backend/index.js</x:t>
  </x:si>
  <x:si>
    <x:t xml:space="preserve">10-37, 44-74</x:t>
  </x:si>
  <x:si>
    <x:t xml:space="preserve">Fabric connection profile was loaded synchronously from a hardcoded path at startup; wallet, identity, channel, chaincode, and discovery settings were hardcoded; the full connection profile content was logged.</x:t>
  </x:si>
  <x:si>
    <x:t xml:space="preserve">Added dotenv loading, env-driven Fabric paths/settings, lazy connection profile loading, wallet path logging only, and sendFabricError().</x:t>
  </x:si>
  <x:si>
    <x:t xml:space="preserve">Lets the Blockchain API start with clear errors when Fabric artifacts are missing and removes sensitive/noisy profile content logging.</x:t>
  </x:si>
  <x:si>
    <x:t xml:space="preserve">Mixed Remediation</x:t>
  </x:si>
  <x:si>
    <x:t xml:space="preserve">Supporting SRS integration and operability</x:t>
  </x:si>
  <x:si>
    <x:t xml:space="preserve">The change repairs an existing broken path and also extends it to participate in the SRS-compliant workflow.</x:t>
  </x:si>
  <x:si>
    <x:t xml:space="preserve">C-06</x:t>
  </x:si>
  <x:si>
    <x:t xml:space="preserve">61-83</x:t>
  </x:si>
  <x:si>
    <x:t xml:space="preserve">Each route opened its own wallet/gateway/network/contract using repeated hardcoded values.</x:t>
  </x:si>
  <x:si>
    <x:t xml:space="preserve">Added withContract() helper to centralize wallet, gateway, discovery, channel, and chaincode access.</x:t>
  </x:si>
  <x:si>
    <x:t xml:space="preserve">Reduces duplicated Fabric connection logic and ensures routes use the same env-driven config.</x:t>
  </x:si>
  <x:si>
    <x:t xml:space="preserve">C-07</x:t>
  </x:si>
  <x:si>
    <x:t xml:space="preserve">85-93</x:t>
  </x:si>
  <x:si>
    <x:t xml:space="preserve">Route handlers manually checked only some request fields, and missing-field handling was inconsistent.</x:t>
  </x:si>
  <x:si>
    <x:t xml:space="preserve">Added requireFields() to validate required payload fields and return a 400-style error.</x:t>
  </x:si>
  <x:si>
    <x:t xml:space="preserve">Makes write endpoints fail predictably when required fields are missing.</x:t>
  </x:si>
  <x:si>
    <x:t xml:space="preserve">C-08</x:t>
  </x:si>
  <x:si>
    <x:t xml:space="preserve">95-146</x:t>
  </x:si>
  <x:si>
    <x:t xml:space="preserve">POST /addPatient was not available as an active API route for the frontend.</x:t>
  </x:si>
  <x:si>
    <x:t xml:space="preserve">Added POST /addPatient, maps request body to chaincode addPatient, serializes doctor array, and returns parsed chaincode JSON with HTTP 201.</x:t>
  </x:si>
  <x:si>
    <x:t xml:space="preserve">Enables the frontend "Add Patient" workflow to create on-chain patients.</x:t>
  </x:si>
  <x:si>
    <x:t xml:space="preserve">SRS Gap Development</x:t>
  </x:si>
  <x:si>
    <x:t xml:space="preserve">FR-05; FR-06</x:t>
  </x:si>
  <x:si>
    <x:t xml:space="preserve">The baseline lacked a required SRS capability or security control; the change adds new product behavior or enforcement.</x:t>
  </x:si>
  <x:si>
    <x:t xml:space="preserve">C-09</x:t>
  </x:si>
  <x:si>
    <x:t xml:space="preserve">148-196</x:t>
  </x:si>
  <x:si>
    <x:t xml:space="preserve">POST /addDoctor existed only as commented-out code and did not match the current chaincode signature.</x:t>
  </x:si>
  <x:si>
    <x:t xml:space="preserve">Added active POST /addDoctor with Emirates ID, clinic ID, speciality, worksAt, contact details, default created date, and serialized patient list.</x:t>
  </x:si>
  <x:si>
    <x:t xml:space="preserve">Enables doctor registration against the chaincode API.</x:t>
  </x:si>
  <x:si>
    <x:t xml:space="preserve">FR-11</x:t>
  </x:si>
  <x:si>
    <x:t xml:space="preserve">C-10</x:t>
  </x:si>
  <x:si>
    <x:t xml:space="preserve">198-226</x:t>
  </x:si>
  <x:si>
    <x:t xml:space="preserve">No REST route exposed registerPatientInClinic or assignPatientToDoctor.</x:t>
  </x:si>
  <x:si>
    <x:t xml:space="preserve">Added POST /registerPatientInClinic and POST /assignPatientToDoctor.</x:t>
  </x:si>
  <x:si>
    <x:t xml:space="preserve">Enables patient clinic registration and doctor-patient assignment workflows through the API.</x:t>
  </x:si>
  <x:si>
    <x:t xml:space="preserve">FR-09; FR-13</x:t>
  </x:si>
  <x:si>
    <x:t xml:space="preserve">C-11</x:t>
  </x:si>
  <x:si>
    <x:t xml:space="preserve">232-575</x:t>
  </x:si>
  <x:si>
    <x:t xml:space="preserve">Read/request/consent routes used repeated hardcoded appUser, mychannel, basic, and inline profile loading. Error responses used raw string responses.</x:t>
  </x:si>
  <x:si>
    <x:t xml:space="preserve">Routes now use env-driven wallet/profile/channel/chaincode settings and sendFabricError() for structured JSON errors.</x:t>
  </x:si>
  <x:si>
    <x:t xml:space="preserve">Makes Blockchain API route behavior consistent and configurable.</x:t>
  </x:si>
  <x:si>
    <x:t xml:space="preserve">C-12</x:t>
  </x:si>
  <x:si>
    <x:t xml:space="preserve">fabric-samples/dental-record-sharing/chaincode-javascript/lib/dentalRecordSharing.js</x:t>
  </x:si>
  <x:si>
    <x:t xml:space="preserve">14-31</x:t>
  </x:si>
  <x:si>
    <x:t xml:space="preserve">Array-like arguments such as patients and doctors were stored as provided. JSON strings from REST calls could remain strings instead of arrays.</x:t>
  </x:si>
  <x:si>
    <x:t xml:space="preserve">Added parseArrayArgument() to accept arrays, JSON arrays, scalar values, or empty values safely.</x:t>
  </x:si>
  <x:si>
    <x:t xml:space="preserve">Prevents malformed on-chain doctor/patient lists from REST submissions.</x:t>
  </x:si>
  <x:si>
    <x:t xml:space="preserve">C-13</x:t>
  </x:si>
  <x:si>
    <x:t xml:space="preserve">495, 500, 542</x:t>
  </x:si>
  <x:si>
    <x:t xml:space="preserve">clinicID, patients, and doctors were stored inconsistently, with clinic IDs potentially remaining strings and arrays potentially remaining serialized strings.</x:t>
  </x:si>
  <x:si>
    <x:t xml:space="preserve">Doctor clinicID is parsed to integer; doctor patients and patient doctors use parseArrayArgument().</x:t>
  </x:si>
  <x:si>
    <x:t xml:space="preserve">Makes chaincode records type-consistent and compatible with assignment/query logic.</x:t>
  </x:si>
  <x:si>
    <x:t xml:space="preserve">C-14</x:t>
  </x:si>
  <x:si>
    <x:t xml:space="preserve">921-922</x:t>
  </x:si>
  <x:si>
    <x:t xml:space="preserve">assignPatientToDoctor compared patient clinic IDs to doctor clinic ID without normalizing types. String/number mismatch caused valid assignments to fail.</x:t>
  </x:si>
  <x:si>
    <x:t xml:space="preserve">Converts doctor clinic ID and patient clinic IDs to numbers before comparison.</x:t>
  </x:si>
  <x:si>
    <x:t xml:space="preserve">Fixes patient-to-doctor assignment when REST payloads provide clinic IDs as strings.</x:t>
  </x:si>
  <x:si>
    <x:t xml:space="preserve">C-15</x:t>
  </x:si>
  <x:si>
    <x:t xml:space="preserve">Processed patient request query filtered for PENDING_PATIENT_CONSENT, which is a pending status rather than processed.</x:t>
  </x:si>
  <x:si>
    <x:t xml:space="preserve">Processed query now returns CONSENT_GRANTED and REJECTED.</x:t>
  </x:si>
  <x:si>
    <x:t xml:space="preserve">Makes consented/rejected requests appear after patient action.</x:t>
  </x:si>
  <x:si>
    <x:t xml:space="preserve">FR-27</x:t>
  </x:si>
  <x:si>
    <x:t xml:space="preserve">C-16</x:t>
  </x:si>
  <x:si>
    <x:t xml:space="preserve">bc-dentistry-frontend/src/assets/config/api.js</x:t>
  </x:si>
  <x:si>
    <x:t xml:space="preserve">No shared API config existed. Components hardcoded URLs such as http://localhost:8080 and http://localhost:8081.</x:t>
  </x:si>
  <x:si>
    <x:t xml:space="preserve">Added DATABASE_API_URL, BLOCKCHAIN_API_URL, databaseUrl(), and blockchainUrl() using Vite env variables with local fallbacks.</x:t>
  </x:si>
  <x:si>
    <x:t xml:space="preserve">Centralizes API base URLs and removes scattered hardcoded localhost usage.</x:t>
  </x:si>
  <x:si>
    <x:t xml:space="preserve">C-17</x:t>
  </x:si>
  <x:si>
    <x:t xml:space="preserve">bc-dentistry-frontend/src/assets/utils/auth.js</x:t>
  </x:si>
  <x:si>
    <x:t xml:space="preserve">Components called JSON.parse(localStorage.getItem("user")) directly. Missing/invalid localStorage crashed pages.</x:t>
  </x:si>
  <x:si>
    <x:t xml:space="preserve">Added getStoredUser() and getStoredUserRole() with null handling and invalid JSON cleanup.</x:t>
  </x:si>
  <x:si>
    <x:t xml:space="preserve">Fixes clean-browser startup and protected-page crashes.</x:t>
  </x:si>
  <x:si>
    <x:t xml:space="preserve">C-18</x:t>
  </x:si>
  <x:si>
    <x:t xml:space="preserve">bc-dentistry-frontend/src/App.jsx</x:t>
  </x:si>
  <x:si>
    <x:t xml:space="preserve">App parsed localStorage immediately and executed user.role.toLowerCase() before login. Topbar/nav/page cover still rendered on login/signup.</x:t>
  </x:si>
  <x:si>
    <x:t xml:space="preserve">Uses getStoredUserRole(), treats /, /login, and /signup as unauthenticated pages, and renders shell only outside those pages.</x:t>
  </x:si>
  <x:si>
    <x:t xml:space="preserve">Fixes the original blocker where the app could not load/login with no stored user.</x:t>
  </x:si>
  <x:si>
    <x:t xml:space="preserve">C-19</x:t>
  </x:si>
  <x:si>
    <x:t xml:space="preserve">bc-dentistry-frontend/src/assets/Context/RoleContext.jsx</x:t>
  </x:si>
  <x:si>
    <x:t xml:space="preserve">Role context initialized to null only, so refreshes lost role state even if login data existed.</x:t>
  </x:si>
  <x:si>
    <x:t xml:space="preserve">Initializes role from getStoredUserRole().</x:t>
  </x:si>
  <x:si>
    <x:t xml:space="preserve">Keeps admin/doctor routing state after page refresh.</x:t>
  </x:si>
  <x:si>
    <x:t xml:space="preserve">C-20</x:t>
  </x:si>
  <x:si>
    <x:t xml:space="preserve">bc-dentistry-frontend/src/assets/Sections/LoginSection.jsx</x:t>
  </x:si>
  <x:si>
    <x:t xml:space="preserve">Login posted directly to http://localhost:8080/login and did not update role context after storing user.</x:t>
  </x:si>
  <x:si>
    <x:t xml:space="preserve">Login posts to databaseUrl('/login') and updates setUserRole() from the returned user role.</x:t>
  </x:si>
  <x:si>
    <x:t xml:space="preserve">Makes login environment-driven and immediately updates role-specific UI.</x:t>
  </x:si>
  <x:si>
    <x:t xml:space="preserve">C-21</x:t>
  </x:si>
  <x:si>
    <x:t xml:space="preserve">bc-dentistry-frontend/src/assets/Pages/Patients.jsx</x:t>
  </x:si>
  <x:si>
    <x:t xml:space="preserve">42-97</x:t>
  </x:si>
  <x:si>
    <x:t xml:space="preserve">Page parsed localStorage directly and hardcoded Blockchain API URLs. It assumed user.role always existed.</x:t>
  </x:si>
  <x:si>
    <x:t xml:space="preserve">Uses getStoredUser(), derives role safely, uses blockchainUrl(), refreshes when stored user fields change, and shows a login message if no user exists.</x:t>
  </x:si>
  <x:si>
    <x:t xml:space="preserve">Prevents protected page crashes and verifies admin/doctor patient list API calls.</x:t>
  </x:si>
  <x:si>
    <x:t xml:space="preserve">C-22</x:t>
  </x:si>
  <x:si>
    <x:t xml:space="preserve">bc-dentistry-frontend/src/assets/Pages/Patient.jsx</x:t>
  </x:si>
  <x:si>
    <x:t xml:space="preserve">48-96</x:t>
  </x:si>
  <x:si>
    <x:t xml:space="preserve">Patient detail used hardcoded /ReadPatient/:id with wrong route casing and assumed sharedWith existed.</x:t>
  </x:si>
  <x:si>
    <x:t xml:space="preserve">Uses blockchainUrl('/readPatient/:id'), safe stored user parsing, login guard, and Array.isArray() before checking sharing.</x:t>
  </x:si>
  <x:si>
    <x:t xml:space="preserve">Fixes route mismatch with Express and prevents crashes on missing optional fields.</x:t>
  </x:si>
  <x:si>
    <x:t xml:space="preserve">FR-08</x:t>
  </x:si>
  <x:si>
    <x:t xml:space="preserve">C-23</x:t>
  </x:si>
  <x:si>
    <x:t xml:space="preserve">bc-dentistry-frontend/src/assets/Pages/DataRequests.jsx</x:t>
  </x:si>
  <x:si>
    <x:t xml:space="preserve">46-95</x:t>
  </x:si>
  <x:si>
    <x:t xml:space="preserve">Admin requests page parsed localStorage directly, assumed admin clinic ID existed, and hardcoded the Blockchain API URL.</x:t>
  </x:si>
  <x:si>
    <x:t xml:space="preserve">Uses getStoredUser(), guards missing organizationId, fetches through blockchainUrl(), and shows an admin-login message if needed.</x:t>
  </x:si>
  <x:si>
    <x:t xml:space="preserve">Prevents data-request page crash and makes request fetch environment-driven.</x:t>
  </x:si>
  <x:si>
    <x:t xml:space="preserve">C-24</x:t>
  </x:si>
  <x:si>
    <x:t xml:space="preserve">bc-dentistry-frontend/src/assets/Sections/DataRequests/DataRequestsOrders.jsx</x:t>
  </x:si>
  <x:si>
    <x:t xml:space="preserve">34-137</x:t>
  </x:si>
  <x:si>
    <x:t xml:space="preserve">Data request order fetch/approval used direct localStorage parsing and hardcoded Blockchain API URLs.</x:t>
  </x:si>
  <x:si>
    <x:t xml:space="preserve">Uses getStoredUser(), guards missing clinic/admin IDs, fetches through blockchainUrl(), and posts approvals through blockchainUrl('/approveRequest').</x:t>
  </x:si>
  <x:si>
    <x:t xml:space="preserve">Makes admin approval flow functional and environment-driven.</x:t>
  </x:si>
  <x:si>
    <x:t xml:space="preserve">FR-22</x:t>
  </x:si>
  <x:si>
    <x:t xml:space="preserve">C-25</x:t>
  </x:si>
  <x:si>
    <x:t xml:space="preserve">bc-dentistry-frontend/src/assets/components/Patients/RequestPatientCard.jsx</x:t>
  </x:si>
  <x:si>
    <x:t xml:space="preserve">81-123</x:t>
  </x:si>
  <x:si>
    <x:t xml:space="preserve">Doctor request form parsed localStorage directly, assumed doctor ID existed, and hardcoded /requestDataAccess.</x:t>
  </x:si>
  <x:si>
    <x:t xml:space="preserve">Uses getStoredUser(), validates doctor/patient/clinic values, and posts to blockchainUrl('/requestDataAccess').</x:t>
  </x:si>
  <x:si>
    <x:t xml:space="preserve">Makes doctor data-access requests work from the frontend.</x:t>
  </x:si>
  <x:si>
    <x:t xml:space="preserve">FR-21</x:t>
  </x:si>
  <x:si>
    <x:t xml:space="preserve">C-26</x:t>
  </x:si>
  <x:si>
    <x:t xml:space="preserve">bc-dentistry-frontend/src/assets/components/Patients/NewPatientDialog.jsx</x:t>
  </x:si>
  <x:si>
    <x:t xml:space="preserve">4-58, 81-148, 277-279</x:t>
  </x:si>
  <x:si>
    <x:t xml:space="preserve">Add-patient dialog only displayed static fields and did not submit a real patient payload to the backend.</x:t>
  </x:si>
  <x:si>
    <x:t xml:space="preserve">Added form state, field change handler, required-field validation, name splitting, POST /addPatient call, patient ID and clinic ID fields, and submit wiring.</x:t>
  </x:si>
  <x:si>
    <x:t xml:space="preserve">Enables frontend add-patient workflow against Fabric.</x:t>
  </x:si>
  <x:si>
    <x:t xml:space="preserve">C-27</x:t>
  </x:si>
  <x:si>
    <x:t xml:space="preserve">bc-dentistry-frontend/src/assets/components/InputComponent.jsx</x:t>
  </x:si>
  <x:si>
    <x:t xml:space="preserve">Inputs were uncontrolled and did not expose name, value, or onChange. Select options used value "1" for every option.</x:t>
  </x:si>
  <x:si>
    <x:t xml:space="preserve">Inputs/selects accept controlled props; select placeholder uses empty value; option values use their actual label.</x:t>
  </x:si>
  <x:si>
    <x:t xml:space="preserve">Allows add-patient form state to capture real field values.</x:t>
  </x:si>
  <x:si>
    <x:t xml:space="preserve">C-28</x:t>
  </x:si>
  <x:si>
    <x:t xml:space="preserve">bc-dentistry-frontend/src/assets/components/Patients/NewPatientDialog2.jsx</x:t>
  </x:si>
  <x:si>
    <x:t xml:space="preserve">7, 61-86</x:t>
  </x:si>
  <x:si>
    <x:t xml:space="preserve">Dialog section did not pass form props to inputs. Submit button called an appointment placeholder handler through an anchor.</x:t>
  </x:si>
  <x:si>
    <x:t xml:space="preserve">Passes values/change handlers into InputComponent and calls onSubmit directly for Submit.</x:t>
  </x:si>
  <x:si>
    <x:t xml:space="preserve">Connects the multi-step dialog to actual add-patient submission.</x:t>
  </x:si>
  <x:si>
    <x:t xml:space="preserve">FR-05</x:t>
  </x:si>
  <x:si>
    <x:t xml:space="preserve">C-29</x:t>
  </x:si>
  <x:si>
    <x:t xml:space="preserve">bc-dentistry-frontend/src/assets/Pages/Signup.jsx</x:t>
  </x:si>
  <x:si>
    <x:t xml:space="preserve">2-46, 118-124</x:t>
  </x:si>
  <x:si>
    <x:t xml:space="preserve">Signup imported only useLocation, called hardcoded /register, omitted required organization ID, and used navigate without importing it.</x:t>
  </x:si>
  <x:si>
    <x:t xml:space="preserve">Imports useNavigate, uses databaseUrl('/register'), tracks organizationId, submits it, and adds an Organization ID field.</x:t>
  </x:si>
  <x:si>
    <x:t xml:space="preserve">Makes admin signup payload match the Database API registration contract.</x:t>
  </x:si>
  <x:si>
    <x:t xml:space="preserve">FR-03</x:t>
  </x:si>
  <x:si>
    <x:t xml:space="preserve">C-30</x:t>
  </x:si>
  <x:si>
    <x:t xml:space="preserve">bc-dentistry-frontend/src/assets/components/Dashboard/AppointmentsTable.jsx</x:t>
  </x:si>
  <x:si>
    <x:t xml:space="preserve">3, 13</x:t>
  </x:si>
  <x:si>
    <x:t xml:space="preserve">Dashboard appointments fetched http://localhost:8080/Appointment.</x:t>
  </x:si>
  <x:si>
    <x:t xml:space="preserve">Fetches databaseUrl('/Appointment').</x:t>
  </x:si>
  <x:si>
    <x:t xml:space="preserve">Removes hardcoded Database API URL.</x:t>
  </x:si>
  <x:si>
    <x:t xml:space="preserve">C-31</x:t>
  </x:si>
  <x:si>
    <x:t xml:space="preserve">bc-dentistry-frontend/src/assets/Sections/Appointments/AppointmentsSection.jsx</x:t>
  </x:si>
  <x:si>
    <x:t xml:space="preserve">4, 14</x:t>
  </x:si>
  <x:si>
    <x:t xml:space="preserve">Appointment section fetched http://localhost:8080/Appointment.</x:t>
  </x:si>
  <x:si>
    <x:t xml:space="preserve">C-32</x:t>
  </x:si>
  <x:si>
    <x:t xml:space="preserve">bc-dentistry-frontend/src/assets/Sections/LabResults/LabResults.jsx</x:t>
  </x:si>
  <x:si>
    <x:t xml:space="preserve">5, 24</x:t>
  </x:si>
  <x:si>
    <x:t xml:space="preserve">Lab results fetched http://localhost:8080/Lab_Results.</x:t>
  </x:si>
  <x:si>
    <x:t xml:space="preserve">Fetches databaseUrl('/Lab_Results').</x:t>
  </x:si>
  <x:si>
    <x:t xml:space="preserve">C-33</x:t>
  </x:si>
  <x:si>
    <x:t xml:space="preserve">bc-dentistry-frontend/src/assets/components/UserType.jsx</x:t>
  </x:si>
  <x:si>
    <x:t xml:space="preserve">19, 25, 30-33</x:t>
  </x:si>
  <x:si>
    <x:t xml:space="preserve">User type component parsed localStorage directly and rendered even if no user data existed.</x:t>
  </x:si>
  <x:si>
    <x:t xml:space="preserve">Uses getStoredUser() and returns null when no user data exists.</x:t>
  </x:si>
  <x:si>
    <x:t xml:space="preserve">Prevents login-shell crash before authentication.</x:t>
  </x:si>
  <x:si>
    <x:t xml:space="preserve">C-34</x:t>
  </x:si>
  <x:si>
    <x:t xml:space="preserve">bc-dentistry-frontend/src/index.css</x:t>
  </x:si>
  <x:si>
    <x:t xml:space="preserve">131, 140-146</x:t>
  </x:si>
  <x:si>
    <x:t xml:space="preserve">Login/signup overlay pseudo-element could sit above form controls and intercept clicks.</x:t>
  </x:si>
  <x:si>
    <x:t xml:space="preserve">Adds relative positioning, z-index layering, and pointer-events: none for the overlay.</x:t>
  </x:si>
  <x:si>
    <x:t xml:space="preserve">Fixes visible login page that could not be clicked.</x:t>
  </x:si>
  <x:si>
    <x:t xml:space="preserve">C-35</x:t>
  </x:si>
  <x:si>
    <x:t xml:space="preserve">11-25, 136-149, 328-603, 676-682</x:t>
  </x:si>
  <x:si>
    <x:t xml:space="preserve">JWT expiry was hardcoded, token claims omitted organization context, and most Database API business routes were public.</x:t>
  </x:si>
  <x:si>
    <x:t xml:space="preserve">Added JWT_EXPIRES_IN, normalized role helpers, richer JWT claims, role middleware, protected Database API routes, auth forwarding for patient sync, and removed password hashes from /users output.</x:t>
  </x:si>
  <x:si>
    <x:t xml:space="preserve">Starts SRS Phase 1 API-layer auth/RBAC coverage for Database API routes.</x:t>
  </x:si>
  <x:si>
    <x:t xml:space="preserve">Phase 1 — API Authentication</x:t>
  </x:si>
  <x:si>
    <x:t xml:space="preserve">SEC-01; SEC-06; FR-01 to FR-04</x:t>
  </x:si>
  <x:si>
    <x:t xml:space="preserve">C-36</x:t>
  </x:si>
  <x:si>
    <x:t xml:space="preserve">9, 36-162, 225-679</x:t>
  </x:si>
  <x:si>
    <x:t xml:space="preserve">Blockchain API routes trusted request body IDs and did not validate JWTs or roles.</x:t>
  </x:si>
  <x:si>
    <x:t xml:space="preserve">Added JWT validation, normalized role middleware, admin clinic-claim checks, doctor self checks, and route-level Admin/Doctor/Patient/System permissions.</x:t>
  </x:si>
  <x:si>
    <x:t xml:space="preserve">Prevents unauthenticated calls and obvious role/body impersonation at the Blockchain API boundary.</x:t>
  </x:si>
  <x:si>
    <x:t xml:space="preserve">C-37</x:t>
  </x:si>
  <x:si>
    <x:t xml:space="preserve">bc-dentistry-frontend/src/assets/config/api.js and protected web call sites</x:t>
  </x:si>
  <x:si>
    <x:t xml:space="preserve">26-36; multiple imports/calls</x:t>
  </x:si>
  <x:si>
    <x:t xml:space="preserve">Web protected calls used only API base URL helpers and did not attach JWT headers.</x:t>
  </x:si>
  <x:si>
    <x:t xml:space="preserve">Added authHeaders()/jsonHeaders() and applied them to patient, request, approval, add-patient, appointment, and lab-result calls.</x:t>
  </x:si>
  <x:si>
    <x:t xml:space="preserve">Lets the web app continue to use protected Database/Blockchain API routes after server-side auth enforcement.</x:t>
  </x:si>
  <x:si>
    <x:t xml:space="preserve">C-38</x:t>
  </x:si>
  <x:si>
    <x:t xml:space="preserve">BC-Dentistry-Mobile-App/Context/UserContext.jsx, BC-Dentistry-Mobile-App/utils/api.js, mobile request/consent screens</x:t>
  </x:si>
  <x:si>
    <x:t xml:space="preserve">multiple</x:t>
  </x:si>
  <x:si>
    <x:t xml:space="preserve">Mobile sign-in matched email against /getAllPatients, used hardcoded API constants, and request/consent screens called protected routes as Patient1 without auth.</x:t>
  </x:si>
  <x:si>
    <x:t xml:space="preserve">Added mobile API helper, token context, real /login sign-in, JWT headers on protected calls, and patient identity helper usage instead of hardcoded request IDs.</x:t>
  </x:si>
  <x:si>
    <x:t xml:space="preserve">Removes the mobile local-auth bypass and aligns protected mobile calls with SRS JWT authentication.</x:t>
  </x:si>
  <x:si>
    <x:t xml:space="preserve">C-39</x:t>
  </x:si>
  <x:si>
    <x:t xml:space="preserve">BC-Dentistry-Mobile-App/app/documents.jsx</x:t>
  </x:si>
  <x:si>
    <x:t xml:space="preserve">27</x:t>
  </x:si>
  <x:si>
    <x:t xml:space="preserve">Documents screen used an un-awaited request and a filter callback that never returned a value.</x:t>
  </x:si>
  <x:si>
    <x:t xml:space="preserve">Awaits the authenticated request and returns data.documents from the filter callback.</x:t>
  </x:si>
  <x:si>
    <x:t xml:space="preserve">Fixes a touched mobile screen bug while moving it to JWT-authenticated calls.</x:t>
  </x:si>
  <x:si>
    <x:t xml:space="preserve">Supporting usability; SEC-01</x:t>
  </x:si>
  <x:si>
    <x:t xml:space="preserve">C-40</x:t>
  </x:si>
  <x:si>
    <x:t xml:space="preserve">103-108, 363-405</x:t>
  </x:si>
  <x:si>
    <x:t xml:space="preserve">Database API login only returned doctor Blockchain_ID values, and /syncOnChainPatients skipped existing patients without linking their on-chain patientID.</x:t>
  </x:si>
  <x:si>
    <x:t xml:space="preserve">Login now joins Patient and returns Patient.Blockchain_ID; patient sync now matches by Emirates_ID or Blockchain_ID, links existing rows, and inserts new rows with Blockchain_ID.</x:t>
  </x:si>
  <x:si>
    <x:t xml:space="preserve">Closes the patient login identity gap needed for mobile owner-only request and consent workflows.</x:t>
  </x:si>
  <x:si>
    <x:t xml:space="preserve">C-41</x:t>
  </x:si>
  <x:si>
    <x:t xml:space="preserve">162-197, 609-715</x:t>
  </x:si>
  <x:si>
    <x:t xml:space="preserve">Patient routes required the Patient role but still trusted patientID from params/body.</x:t>
  </x:si>
  <x:si>
    <x:t xml:space="preserve">Added patient self-check middleware and applied it to pending, processed, all-requests, provide-consent, and reject-request routes.</x:t>
  </x:si>
  <x:si>
    <x:t xml:space="preserve">Prevents a patient JWT from reading or changing another patient's request/consent state by changing the request ID.</x:t>
  </x:si>
  <x:si>
    <x:t xml:space="preserve">C-42</x:t>
  </x:si>
  <x:si>
    <x:t xml:space="preserve">BC-Dentistry-Mobile-App/utils/api.js</x:t>
  </x:si>
  <x:si>
    <x:t xml:space="preserve">23-25</x:t>
  </x:si>
  <x:si>
    <x:t xml:space="preserve">Mobile patient identity helper accepted fallback patientID/patientId/PatientID fields from local user objects.</x:t>
  </x:si>
  <x:si>
    <x:t xml:space="preserve">Helper now uses only the authenticated login response blockchainID.</x:t>
  </x:si>
  <x:si>
    <x:t xml:space="preserve">Avoids accidental fallback to stale or client-supplied patient IDs after the Database API now returns the durable patient chain ID.</x:t>
  </x:si>
  <x:si>
    <x:t xml:space="preserve">C-43</x:t>
  </x:si>
  <x:si>
    <x:t xml:space="preserve">5, 13, 51-53, 333-407, 499</x:t>
  </x:si>
  <x:si>
    <x:t xml:space="preserve">POST /register was public and could create organization admins without an authenticated caller.</x:t>
  </x:si>
  <x:si>
    <x:t xml:space="preserve">Added ADMIN_BOOTSTRAP_TOKEN support, constant-time bootstrap token comparison, Admin/System JWT authorization, and applied authorizeAdminRegistration to /register.</x:t>
  </x:si>
  <x:si>
    <x:t xml:space="preserve">Closes the remaining Phase 1 public admin-registration gap while preserving controlled AWS bootstrap.</x:t>
  </x:si>
  <x:si>
    <x:t xml:space="preserve">C-44</x:t>
  </x:si>
  <x:si>
    <x:t xml:space="preserve">6, 41-50</x:t>
  </x:si>
  <x:si>
    <x:t xml:space="preserve">Signup posted to /register without authorization headers.</x:t>
  </x:si>
  <x:si>
    <x:t xml:space="preserve">Signup now uses jsonHeaders() so an authenticated Admin/System token is sent when present.</x:t>
  </x:si>
  <x:si>
    <x:t xml:space="preserve">Keeps the web onboarding form compatible with the protected /register route.</x:t>
  </x:si>
  <x:si>
    <x:t xml:space="preserve">C-45</x:t>
  </x:si>
  <x:si>
    <x:t xml:space="preserve">Phase 3 route handlers</x:t>
  </x:si>
  <x:si>
    <x:t xml:space="preserve">SRS Section 5 names were missing or mapped only to legacy routes; patient/doctor CRUD and role-specific rejection routes were not exposed.</x:t>
  </x:si>
  <x:si>
    <x:t xml:space="preserve">Added all six SRS canonical routes, patient update/delete, doctor read/update/delete, separate admin/patient rejection, compatible alias metadata, and normalized canonical response envelopes.</x:t>
  </x:si>
  <x:si>
    <x:t xml:space="preserve">Provides REST gateway parity while preserving existing clients and Phase 2 JWT-to-wallet identity binding.</x:t>
  </x:si>
  <x:si>
    <x:t xml:space="preserve">Phase 3 — API Parity</x:t>
  </x:si>
  <x:si>
    <x:t xml:space="preserve">SRS Section 5; FR-07 to FR-27 as routed</x:t>
  </x:si>
  <x:si>
    <x:t xml:space="preserve">C-46</x:t>
  </x:si>
  <x:si>
    <x:t xml:space="preserve">DeleteDoctor; DeletePatient</x:t>
  </x:si>
  <x:si>
    <x:t xml:space="preserve">Delete transactions required Admin role but did not bind the admin certificate to the stored actor clinic.</x:t>
  </x:si>
  <x:si>
    <x:t xml:space="preserve">Delete transactions now load the stored doctor/patient and enforce _requireAdminClinic against its clinicID before deletion.</x:t>
  </x:si>
  <x:si>
    <x:t xml:space="preserve">Preserves Phase 2 clinic/MSP isolation for the newly exposed delete APIs.</x:t>
  </x:si>
  <x:si>
    <x:t xml:space="preserve">SEC-02; SEC-08; FR-10; FR-14</x:t>
  </x:si>
  <x:si>
    <x:t xml:space="preserve">C-47</x:t>
  </x:si>
  <x:si>
    <x:t xml:space="preserve">backend/server.js; dental-backend/index.js</x:t>
  </x:si>
  <x:si>
    <x:t xml:space="preserve">JWT/role errors and canonical handlers</x:t>
  </x:si>
  <x:si>
    <x:t xml:space="preserve">Authentication, authorization, validation, and Fabric errors used inconsistent flat error strings.</x:t>
  </x:si>
  <x:si>
    <x:t xml:space="preserve">JWT/role failures now use a structured error object; canonical Blockchain API routes use success/data and success/error envelopes.</x:t>
  </x:si>
  <x:si>
    <x:t xml:space="preserve">Makes errors predictable across Database and Blockchain APIs without changing legacy success payloads.</x:t>
  </x:si>
  <x:si>
    <x:t xml:space="preserve">C-91</x:t>
  </x:si>
  <x:si>
    <x:t xml:space="preserve">Phase 4 patient management</x:t>
  </x:si>
  <x:si>
    <x:t xml:space="preserve">Patient data was primarily read from Fabric and CRUD was incomplete.</x:t>
  </x:si>
  <x:si>
    <x:t xml:space="preserve">Added JWT/admin/clinic-bound hybrid create, list, owner/admin read, update, assignment, and coordinated delete routes with validation, UUID IDs, transactions and SHA-256.</x:t>
  </x:si>
  <x:si>
    <x:t xml:space="preserve">Completes FR-05 to FR-10 while keeping PII off-chain.</x:t>
  </x:si>
  <x:si>
    <x:t xml:space="preserve">Phase 4 — Patient Management</x:t>
  </x:si>
  <x:si>
    <x:t xml:space="preserve">FR-05 to FR-10; SEC-03</x:t>
  </x:si>
  <x:si>
    <x:t xml:space="preserve">C-92</x:t>
  </x:si>
  <x:si>
    <x:t xml:space="preserve">database/dump.sql; database/migrations/2026-07-11-phase4-patient-management.sql</x:t>
  </x:si>
  <x:si>
    <x:t xml:space="preserve">Patient table Phase 4 fields</x:t>
  </x:si>
  <x:si>
    <x:t xml:space="preserve">Patient table held DOB, gender, Emirates ID and blockchain mapping only.</x:t>
  </x:si>
  <x:si>
    <x:t xml:space="preserve">Added nationality, address, blood type, JSON medical history/allergies/medications/insurance/doctors, clinic, modified date, uniqueness and clinic index/FK.</x:t>
  </x:si>
  <x:si>
    <x:t xml:space="preserve">Makes MySQL authoritative for detailed patient PII and clinical/admin data.</x:t>
  </x:si>
  <x:si>
    <x:t xml:space="preserve">C-93</x:t>
  </x:si>
  <x:si>
    <x:t xml:space="preserve">AddPatientMetadata; UpdatePatientMetadata</x:t>
  </x:si>
  <x:si>
    <x:t xml:space="preserve">Patient transactions stored names, Emirates ID, email, contact and address on-chain.</x:t>
  </x:si>
  <x:si>
    <x:t xml:space="preserve">Added metadata-only transactions storing IDs, clinic/doctors, opaque MySQL reference, SHA-256 hash, timestamps and storage policy.</x:t>
  </x:si>
  <x:si>
    <x:t xml:space="preserve">Aligns new patient writes with SEC-03; historical ledger PII cleanup remains a deployment gate.</x:t>
  </x:si>
  <x:si>
    <x:t xml:space="preserve">SEC-03; FR-05 to FR-10</x:t>
  </x:si>
  <x:si>
    <x:t xml:space="preserve">C-94</x:t>
  </x:si>
  <x:si>
    <x:t xml:space="preserve">/patient-metadata routes</x:t>
  </x:si>
  <x:si>
    <x:t xml:space="preserve">No metadata-only patient gateway routes existed.</x:t>
  </x:si>
  <x:si>
    <x:t xml:space="preserve">Added JWT admin-only, clinic-bound create/update/delete metadata routes mapped to Fabric identities.</x:t>
  </x:si>
  <x:si>
    <x:t xml:space="preserve">Preserves Phase 1 JWT and Phase 2 MSP/RBAC binding.</x:t>
  </x:si>
  <x:si>
    <x:t xml:space="preserve">C-95</x:t>
  </x:si>
  <x:si>
    <x:t xml:space="preserve">bc-dentistry-frontend/src/assets/components/Patients; assets/Pages/Patients.jsx</x:t>
  </x:si>
  <x:si>
    <x:t xml:space="preserve">Phase 4 patient UI</x:t>
  </x:si>
  <x:si>
    <x:t xml:space="preserve">Add form omitted functioning medical/insurance fields and had no update/assign/delete workflow.</x:t>
  </x:si>
  <x:si>
    <x:t xml:space="preserve">Added complete SRS add form, MySQL list integration, update and assignment actions, and confirmed delete with surfaced errors.</x:t>
  </x:si>
  <x:si>
    <x:t xml:space="preserve">Completes admin patient-management workflow.</x:t>
  </x:si>
  <x:si>
    <x:t xml:space="preserve">C-96</x:t>
  </x:si>
  <x:si>
    <x:t xml:space="preserve">dental-backend/test/phase4PatientManagement.test.js</x:t>
  </x:si>
  <x:si>
    <x:t xml:space="preserve">3 tests</x:t>
  </x:si>
  <x:si>
    <x:t xml:space="preserve">No Phase 4 source assertions.</x:t>
  </x:si>
  <x:si>
    <x:t xml:space="preserve">Added route, hybrid-storage and authorization assertions; 10 total Phase 2-4 tests pass.</x:t>
  </x:si>
  <x:si>
    <x:t xml:space="preserve">Protects API coverage and SEC-03 design.</x:t>
  </x:si>
  <x:si>
    <x:t xml:space="preserve">Supporting Evidence / Deployment</x:t>
  </x:si>
  <x:si>
    <x:t xml:space="preserve">This entry supplies tests, documentation, migration, or deployment evidence and does not independently add end-user behavior.</x:t>
  </x:si>
  <x:si>
    <x:t xml:space="preserve">CFG-01</x:t>
  </x:si>
  <x:si>
    <x:t xml:space="preserve">backend/Dockerfile</x:t>
  </x:si>
  <x:si>
    <x:t xml:space="preserve">5-6, 10</x:t>
  </x:si>
  <x:si>
    <x:t xml:space="preserve">Copied entire backend folder before dependency install and ran npm install. This could copy Windows node_modules into the Linux container.</x:t>
  </x:si>
  <x:si>
    <x:t xml:space="preserve">Copies package*.json, runs npm ci --omit=dev, then copies source. Exposes 8080.</x:t>
  </x:si>
  <x:si>
    <x:t xml:space="preserve">Fixes native module issues such as invalid Linux container binaries for dependencies like bcrypt.</x:t>
  </x:si>
  <x:si>
    <x:t xml:space="preserve">CFG-02</x:t>
  </x:si>
  <x:si>
    <x:t xml:space="preserve">backend/.dockerignore</x:t>
  </x:si>
  <x:si>
    <x:t xml:space="preserve">File did not exist. Docker build context could include node_modules, .env, logs, and audit outputs.</x:t>
  </x:si>
  <x:si>
    <x:t xml:space="preserve">Added ignores for node_modules, audit output folders, .env, and logs.</x:t>
  </x:si>
  <x:si>
    <x:t xml:space="preserve">Keeps Docker builds reproducible and prevents local secrets/dependencies from entering images.</x:t>
  </x:si>
  <x:si>
    <x:t xml:space="preserve">CFG-03</x:t>
  </x:si>
  <x:si>
    <x:t xml:space="preserve">docker-compose.yml</x:t>
  </x:si>
  <x:si>
    <x:t xml:space="preserve">55-59</x:t>
  </x:si>
  <x:si>
    <x:t xml:space="preserve">Database API had no container-to-host Blockchain API URL.</x:t>
  </x:si>
  <x:si>
    <x:t xml:space="preserve">Adds BLOCKCHAIN_API_URL: http://host.docker.internal:8081 and maps 8080:8080.</x:t>
  </x:si>
  <x:si>
    <x:t xml:space="preserve">Lets the containerized Database API call the host-run Blockchain API.</x:t>
  </x:si>
  <x:si>
    <x:t xml:space="preserve">CFG-04</x:t>
  </x:si>
  <x:si>
    <x:t xml:space="preserve">backend/.env.example</x:t>
  </x:si>
  <x:si>
    <x:t xml:space="preserve">6, 23-29</x:t>
  </x:si>
  <x:si>
    <x:t xml:space="preserve">Env template did not document Blockchain API URL or multi-origin CORS.</x:t>
  </x:si>
  <x:si>
    <x:t xml:space="preserve">Adds PORT=8080, BLOCKCHAIN_API_URL, and CORS origins for 5173, 5174, and loopback variants.</x:t>
  </x:si>
  <x:si>
    <x:t xml:space="preserve">Documents the correct local setup for DB API and frontend access.</x:t>
  </x:si>
  <x:si>
    <x:t xml:space="preserve">CFG-05</x:t>
  </x:si>
  <x:si>
    <x:t xml:space="preserve">backend/.env</x:t>
  </x:si>
  <x:si>
    <x:t xml:space="preserve">Local runtime env file was not present in the original source snapshot.</x:t>
  </x:si>
  <x:si>
    <x:t xml:space="preserve">Added local development values for port, DB connection, JWT secret placeholder, Blockchain API URL, and CORS origins.</x:t>
  </x:si>
  <x:si>
    <x:t xml:space="preserve">Supports verified local runtime in the remediation copy. This file should be treated as local config, not production secret material.</x:t>
  </x:si>
  <x:si>
    <x:t xml:space="preserve">CFG-06</x:t>
  </x:si>
  <x:si>
    <x:t xml:space="preserve">dental-backend/.env.example</x:t>
  </x:si>
  <x:si>
    <x:t xml:space="preserve">6, 11-13, 26</x:t>
  </x:si>
  <x:si>
    <x:t xml:space="preserve">Template used old port 3000, omitted Fabric identity/discovery settings, and allowed only one frontend origin.</x:t>
  </x:si>
  <x:si>
    <x:t xml:space="preserve">Sets PORT=8081, adds Fabric identity/discovery values, and expands CORS origins.</x:t>
  </x:si>
  <x:si>
    <x:t xml:space="preserve">Aligns Blockchain API config with the verified runtime and frontend ports.</x:t>
  </x:si>
  <x:si>
    <x:t xml:space="preserve">CFG-07</x:t>
  </x:si>
  <x:si>
    <x:t xml:space="preserve">dental-backend/.env</x:t>
  </x:si>
  <x:si>
    <x:t xml:space="preserve">Added local Blockchain API port, Fabric channel/chaincode/identity, connection profile, wallet path, JWT placeholder, expiry, and CORS origins.</x:t>
  </x:si>
  <x:si>
    <x:t xml:space="preserve">Supports verified local Fabric API runtime.</x:t>
  </x:si>
  <x:si>
    <x:t xml:space="preserve">CFG-08</x:t>
  </x:si>
  <x:si>
    <x:t xml:space="preserve">dental-backend/package.json</x:t>
  </x:si>
  <x:si>
    <x:t xml:space="preserve">7, 16</x:t>
  </x:si>
  <x:si>
    <x:t xml:space="preserve">No start script and no dotenv dependency.</x:t>
  </x:si>
  <x:si>
    <x:t xml:space="preserve">Adds "start": "node index.js" and dotenv.</x:t>
  </x:si>
  <x:si>
    <x:t xml:space="preserve">Makes npm start available and supports env-driven Blockchain API config.</x:t>
  </x:si>
  <x:si>
    <x:t xml:space="preserve">CFG-09</x:t>
  </x:si>
  <x:si>
    <x:t xml:space="preserve">dental-backend/package-lock.json</x:t>
  </x:si>
  <x:si>
    <x:t xml:space="preserve">dependency lock entries</x:t>
  </x:si>
  <x:si>
    <x:t xml:space="preserve">Lock file did not include dotenv.</x:t>
  </x:si>
  <x:si>
    <x:t xml:space="preserve">Lock file updated for dotenv.</x:t>
  </x:si>
  <x:si>
    <x:t xml:space="preserve">Keeps dependency installation reproducible.</x:t>
  </x:si>
  <x:si>
    <x:t xml:space="preserve">CFG-10</x:t>
  </x:si>
  <x:si>
    <x:t xml:space="preserve">bc-dentistry-frontend/.env.example</x:t>
  </x:si>
  <x:si>
    <x:t xml:space="preserve">Frontend pointed to stale /api URLs on ports 3000 and 3001.</x:t>
  </x:si>
  <x:si>
    <x:t xml:space="preserve">Sets VITE_BLOCKCHAIN_API_URL=http://localhost:8081 and VITE_DATABASE_API_URL=http://localhost:8080.</x:t>
  </x:si>
  <x:si>
    <x:t xml:space="preserve">Aligns frontend with actual API ports.</x:t>
  </x:si>
  <x:si>
    <x:t xml:space="preserve">CFG-11</x:t>
  </x:si>
  <x:si>
    <x:t xml:space="preserve">bc-dentistry-frontend/.env</x:t>
  </x:si>
  <x:si>
    <x:t xml:space="preserve">Adds local Vite API base URLs for Blockchain API and Database API.</x:t>
  </x:si>
  <x:si>
    <x:t xml:space="preserve">Supports verified local frontend runtime.</x:t>
  </x:si>
  <x:si>
    <x:t xml:space="preserve">CFG-12</x:t>
  </x:si>
  <x:si>
    <x:t xml:space="preserve">BC-Dentistry-Mobile-App/.env.example</x:t>
  </x:si>
  <x:si>
    <x:t xml:space="preserve">Mobile template pointed to stale ports 3001/api and 3000/api.</x:t>
  </x:si>
  <x:si>
    <x:t xml:space="preserve">Sets API_BASE_URL to 8080 and BLOCKCHAIN_API_URL to 8081 without stale /api suffixes.</x:t>
  </x:si>
  <x:si>
    <x:t xml:space="preserve">Documents correct LAN API ports for mobile development.</x:t>
  </x:si>
  <x:si>
    <x:t xml:space="preserve">CFG-13</x:t>
  </x:si>
  <x:si>
    <x:t xml:space="preserve">dental-backend/package.json, dental-backend/package-lock.json</x:t>
  </x:si>
  <x:si>
    <x:t xml:space="preserve">dependency entries</x:t>
  </x:si>
  <x:si>
    <x:t xml:space="preserve">Blockchain API did not declare jsonwebtoken.</x:t>
  </x:si>
  <x:si>
    <x:t xml:space="preserve">Adds jsonwebtoken ^9.0.2 and matching lockfile entries.</x:t>
  </x:si>
  <x:si>
    <x:t xml:space="preserve">Makes JWT validation dependency explicit and reproducible for Blockchain API installs/builds.</x:t>
  </x:si>
  <x:si>
    <x:t xml:space="preserve">CFG-14</x:t>
  </x:si>
  <x:si>
    <x:t xml:space="preserve">database/dump.sql; off_chain_database/datamodel.sql; off_chain_database/datamodel2.sql; database/migrations/2026-07-10-add-patient-blockchain-id.sql</x:t>
  </x:si>
  <x:si>
    <x:t xml:space="preserve">Patient schema sections</x:t>
  </x:si>
  <x:si>
    <x:t xml:space="preserve">Patient tables lacked a column that ties a database user row to the ledger patient key.</x:t>
  </x:si>
  <x:si>
    <x:t xml:space="preserve">Added unique Patient.Blockchain_ID to seed schemas/dump, mapped known seed patients to Patient1-Patient3, and added a migration for existing live databases.</x:t>
  </x:si>
  <x:si>
    <x:t xml:space="preserve">Provides the off-chain source of truth for authenticated patient-to-ledger identity mapping.</x:t>
  </x:si>
  <x:si>
    <x:t xml:space="preserve">CFG-15</x:t>
  </x:si>
  <x:si>
    <x:t xml:space="preserve">backend/.env.example; README.md</x:t>
  </x:si>
  <x:si>
    <x:t xml:space="preserve">auth env sections</x:t>
  </x:si>
  <x:si>
    <x:t xml:space="preserve">Database API config did not document JWT_EXPIRES_IN or the deployment bootstrap token required for protected admin registration.</x:t>
  </x:si>
  <x:si>
    <x:t xml:space="preserve">Added JWT_EXPIRES_IN and ADMIN_BOOTSTRAP_TOKEN placeholders to Database API env documentation.</x:t>
  </x:si>
  <x:si>
    <x:t xml:space="preserve">Makes the required AWS VM environment changes explicit before restarting services.</x:t>
  </x:si>
  <x:si>
    <x:t xml:space="preserve">DOC-01</x:t>
  </x:si>
  <x:si>
    <x:t xml:space="preserve">README.md</x:t>
  </x:si>
  <x:si>
    <x:t xml:space="preserve">144-149</x:t>
  </x:si>
  <x:si>
    <x:t xml:space="preserve">Prerequisites listed generic Docker 26.0.0+, Compose v2+, Node 22.5.1, and did not state exact Fabric/CA tested versions.</x:t>
  </x:si>
  <x:si>
    <x:t xml:space="preserve">Documents Docker Desktop 4.79.0, Engine 29.5.3, Docker API 1.54/min 1.40, Compose v5.1.4, Fabric 2.5.16, Fabric CA 1.5.21, and jq.</x:t>
  </x:si>
  <x:si>
    <x:t xml:space="preserve">Makes the Fabric/Docker version matrix explicit for reproducible setup.</x:t>
  </x:si>
  <x:si>
    <x:t xml:space="preserve">DOC-02</x:t>
  </x:si>
  <x:si>
    <x:t xml:space="preserve">No warning explained the Fabric 2.5.4 and Docker Engine 29 chaincode failure.</x:t>
  </x:si>
  <x:si>
    <x:t xml:space="preserve">Adds a Fabric/Docker compatibility note and the observed client version 1.25 is too old failure mode.</x:t>
  </x:si>
  <x:si>
    <x:t xml:space="preserve">Prevents teams from using broad/latest Fabric setup guidance that fails with newer Docker.</x:t>
  </x:si>
  <x:si>
    <x:t xml:space="preserve">DOC-03</x:t>
  </x:si>
  <x:si>
    <x:t xml:space="preserve">197, 212</x:t>
  </x:si>
  <x:si>
    <x:t xml:space="preserve">Fabric install command used --fabric-version 2.5.4 and CA fallback used 1.5.7.</x:t>
  </x:si>
  <x:si>
    <x:t xml:space="preserve">Install command uses --fabric-version 2.5.16 --ca-version 1.5.21; CA retry uses 1.5.21.</x:t>
  </x:si>
  <x:si>
    <x:t xml:space="preserve">Aligns setup commands with verified runtime.</x:t>
  </x:si>
  <x:si>
    <x:t xml:space="preserve">DOC-04</x:t>
  </x:si>
  <x:si>
    <x:t xml:space="preserve">840-849</x:t>
  </x:si>
  <x:si>
    <x:t xml:space="preserve">Tech stack listed Fabric 2.5.0, Blockchain/Database API Node 22.5.1, Docker Engine 26.0.0, and no Fabric CA row.</x:t>
  </x:si>
  <x:si>
    <x:t xml:space="preserve">Lists Fabric 2.5.16, Fabric CA 1.5.21, Node 18+ for APIs, and Docker Engine tested 29.5.3.</x:t>
  </x:si>
  <x:si>
    <x:t xml:space="preserve">Keeps summary stack consistent with verified setup.</x:t>
  </x:si>
  <x:si>
    <x:t xml:space="preserve">DOC-05</x:t>
  </x:si>
  <x:si>
    <x:t xml:space="preserve">docs/SETUP.md</x:t>
  </x:si>
  <x:si>
    <x:t xml:space="preserve">102-103</x:t>
  </x:si>
  <x:si>
    <x:t xml:space="preserve">Service port table listed Blockchain API 3000 and Database API 3001.</x:t>
  </x:si>
  <x:si>
    <x:t xml:space="preserve">Lists Blockchain API 8081 and Database API 8080.</x:t>
  </x:si>
  <x:si>
    <x:t xml:space="preserve">Corrects setup documentation to match actual services.</x:t>
  </x:si>
  <x:si>
    <x:t xml:space="preserve">DOC-06</x:t>
  </x:si>
  <x:si>
    <x:t xml:space="preserve">282, 294</x:t>
  </x:si>
  <x:si>
    <x:t xml:space="preserve">Manual startup comments referenced localhost:3000 and localhost:3001.</x:t>
  </x:si>
  <x:si>
    <x:t xml:space="preserve">Startup comments reference localhost:8081 and localhost:8080.</x:t>
  </x:si>
  <x:si>
    <x:t xml:space="preserve">Prevents developers from starting/testing against stale ports.</x:t>
  </x:si>
  <x:si>
    <x:t xml:space="preserve">DOC-07</x:t>
  </x:si>
  <x:si>
    <x:t xml:space="preserve">432-433</x:t>
  </x:si>
  <x:si>
    <x:t xml:space="preserve">CORS troubleshooting mentioned only http://localhost:5174.</x:t>
  </x:si>
  <x:si>
    <x:t xml:space="preserve">CORS troubleshooting includes http://localhost:5173,http://localhost:5174.</x:t>
  </x:si>
  <x:si>
    <x:t xml:space="preserve">Covers both Vite dev ports observed during testing.</x:t>
  </x:si>
  <x:si>
    <x:t xml:space="preserve">DOC-08</x:t>
  </x:si>
  <x:si>
    <x:t xml:space="preserve">Outputs/SRS_Compliance_Base/*.md; Outputs/EDR_Remediation_Change_Log.md</x:t>
  </x:si>
  <x:si>
    <x:t xml:space="preserve">SRS baseline documents still described the pre-Phase-1 unauthenticated state.</x:t>
  </x:si>
  <x:si>
    <x:t xml:space="preserve">Updated the roadmap, traceability matrix, checklist, startup context, README summary, and change log with the Phase 1 auth checkpoint and remaining blockers.</x:t>
  </x:si>
  <x:si>
    <x:t xml:space="preserve">Keeps future threads aligned on what was completed and what still needs patient ID mapping, MSP/certificate binding, and bootstrap registration decisions.</x:t>
  </x:si>
  <x:si>
    <x:t xml:space="preserve">DOC-09</x:t>
  </x:si>
  <x:si>
    <x:t xml:space="preserve">Outputs/SRS_Compliance_Base/*.md</x:t>
  </x:si>
  <x:si>
    <x:t xml:space="preserve">Baseline docs still listed patient blockchain identity mapping as an unresolved source-level gap.</x:t>
  </x:si>
  <x:si>
    <x:t xml:space="preserve">Updated README, roadmap, traceability matrix, checklist, and startup context with the completed patient mapping checkpoint and remaining migration/test caveat.</x:t>
  </x:si>
  <x:si>
    <x:t xml:space="preserve">Keeps future remediation threads aligned on the next work: migration deployment, tests, bootstrap decision, and chaincode MSP/RBAC.</x:t>
  </x:si>
  <x:si>
    <x:t xml:space="preserve">DOC-10</x:t>
  </x:si>
  <x:si>
    <x:t xml:space="preserve">Outputs/SRS_Compliance_Base/Phase1_AWS_Deployment_Runbook.md; Outputs/SRS_Compliance_Base/*.md</x:t>
  </x:si>
  <x:si>
    <x:t xml:space="preserve">Phase 1 deployment-only migration/env/smoke-test work was spread across notes and not tracked as an AWS rollout gate.</x:t>
  </x:si>
  <x:si>
    <x:t xml:space="preserve">Added the Phase 1 AWS deployment runbook and updated baseline docs to mark source-level Phase 1 complete pending VM migration/smoke tests.</x:t>
  </x:si>
  <x:si>
    <x:t xml:space="preserve">Gives every future thread a concrete migration and smoke-test checklist before moving to Phase 2.</x:t>
  </x:si>
  <x:si>
    <x:t xml:space="preserve">DOC-11</x:t>
  </x:si>
  <x:si>
    <x:t xml:space="preserve">README.md; Outputs/SRS_Compliance_Base/*.md; Outputs/EDR_Remediation_Change_Log.md</x:t>
  </x:si>
  <x:si>
    <x:t xml:space="preserve">Phase 3 status and endpoint map</x:t>
  </x:si>
  <x:si>
    <x:t xml:space="preserve">Phase 3 routes, aliases, roles, deployment requirements, and verification state were not documented.</x:t>
  </x:si>
  <x:si>
    <x:t xml:space="preserve">Documented exact canonical/legacy route mapping, roles, identity enforcement, source checks, no-DB-migration decision, and pending AWS rollout.</x:t>
  </x:si>
  <x:si>
    <x:t xml:space="preserve">Keeps roadmap, traceability, acceptance, startup context, and setup documentation synchronized.</x:t>
  </x:si>
  <x:si>
    <x:t xml:space="preserve">FAB-01</x:t>
  </x:si>
  <x:si>
    <x:t xml:space="preserve">fabric-samples/test-network/network.config</x:t>
  </x:si>
  <x:si>
    <x:t xml:space="preserve">3, 6</x:t>
  </x:si>
  <x:si>
    <x:t xml:space="preserve">IMAGETAG="default" and CA_IMAGETAG="default", allowing Docker images to drift to latest/default versions.</x:t>
  </x:si>
  <x:si>
    <x:t xml:space="preserve">IMAGETAG="2.5.16" and CA_IMAGETAG="1.5.21".</x:t>
  </x:si>
  <x:si>
    <x:t xml:space="preserve">Pins image versions to the installed local Fabric binaries and avoids Fabric/Docker compatibility drift.</x:t>
  </x:si>
  <x:si>
    <x:t xml:space="preserve">FAB-02</x:t>
  </x:si>
  <x:si>
    <x:t xml:space="preserve">fabric-samples/test-network/network.sh</x:t>
  </x:si>
  <x:si>
    <x:t xml:space="preserve">76, 122</x:t>
  </x:si>
  <x:si>
    <x:t xml:space="preserve">Prerequisite checks compared local binaries against hyperledger/fabric-tools:latest and hyperledger/fabric-ca:latest.</x:t>
  </x:si>
  <x:si>
    <x:t xml:space="preserve">Checks use hyperledger/fabric-tools:${IMAGETAG} and hyperledger/fabric-ca:${CA_IMAGETAG}.</x:t>
  </x:si>
  <x:si>
    <x:t xml:space="preserve">Ensures version checks validate the pinned image set, not whatever latest currently resolves to.</x:t>
  </x:si>
  <x:si>
    <x:t xml:space="preserve">FAB-03</x:t>
  </x:si>
  <x:si>
    <x:t xml:space="preserve">481-483</x:t>
  </x:si>
  <x:si>
    <x:t xml:space="preserve">Git Bash on Windows could leave Docker socket as /var/run/docker.sock, which Docker Desktop does not mount correctly from that shell context.</x:t>
  </x:si>
  <x:si>
    <x:t xml:space="preserve">Converts /var/run/docker.sock to //var/run/docker.sock on MSYS/Cygwin shells.</x:t>
  </x:si>
  <x:si>
    <x:t xml:space="preserve">Fixes Fabric test-network startup under Windows Git Bash.</x:t>
  </x:si>
  <x:si>
    <x:t xml:space="preserve">FAB-04</x:t>
  </x:si>
  <x:si>
    <x:t xml:space="preserve">fabric-samples/test-network/compose/compose-test-net.yaml</x:t>
  </x:si>
  <x:si>
    <x:t xml:space="preserve">21, 63, 102, 141</x:t>
  </x:si>
  <x:si>
    <x:t xml:space="preserve">Orderer, peers, and CLI used hyperledger/fabric-*:latest.</x:t>
  </x:si>
  <x:si>
    <x:t xml:space="preserve">Uses ${IMAGETAG:-2.5.16} for orderer, peer, and tools images.</x:t>
  </x:si>
  <x:si>
    <x:t xml:space="preserve">Pins normal test-network containers to Fabric 2.5.16.</x:t>
  </x:si>
  <x:si>
    <x:t xml:space="preserve">FAB-05</x:t>
  </x:si>
  <x:si>
    <x:t xml:space="preserve">fabric-samples/test-network/compose/compose-ca.yaml</x:t>
  </x:si>
  <x:si>
    <x:t xml:space="preserve">15, 35, 55</x:t>
  </x:si>
  <x:si>
    <x:t xml:space="preserve">Fabric CA containers used hyperledger/fabric-ca:latest.</x:t>
  </x:si>
  <x:si>
    <x:t xml:space="preserve">Uses ${CA_IMAGETAG:-1.5.21}.</x:t>
  </x:si>
  <x:si>
    <x:t xml:space="preserve">Pins Fabric CA containers to the verified CA version.</x:t>
  </x:si>
  <x:si>
    <x:t xml:space="preserve">FAB-06</x:t>
  </x:si>
  <x:si>
    <x:t xml:space="preserve">fabric-samples/test-network/compose/docker/docker-compose-test-net.yaml</x:t>
  </x:si>
  <x:si>
    <x:t xml:space="preserve">10, 15, 24, 29, 38</x:t>
  </x:si>
  <x:si>
    <x:t xml:space="preserve">Docker override used latest peer/tools images and did not set Docker API compatibility override.</x:t>
  </x:si>
  <x:si>
    <x:t xml:space="preserve">Uses ${IMAGETAG:-2.5.16} and adds DOCKER_API_VERSION=1.40 to peer containers.</x:t>
  </x:si>
  <x:si>
    <x:t xml:space="preserve">Fixes JavaScript chaincode container launch against Docker Engine 29, where older Docker API clients fail.</x:t>
  </x:si>
  <x:si>
    <x:t xml:space="preserve">FAB-07</x:t>
  </x:si>
  <x:si>
    <x:t xml:space="preserve">fabric-samples/test-network/compose/compose-bft-test-net.yaml</x:t>
  </x:si>
  <x:si>
    <x:t xml:space="preserve">19, 61, 103, 145, 190, 229, 268</x:t>
  </x:si>
  <x:si>
    <x:t xml:space="preserve">BFT sample services used latest Fabric images.</x:t>
  </x:si>
  <x:si>
    <x:t xml:space="preserve">Uses ${IMAGETAG:-2.5.16} for orderers, peers, and tools.</x:t>
  </x:si>
  <x:si>
    <x:t xml:space="preserve">Removes hidden version drift from the BFT sample configuration.</x:t>
  </x:si>
  <x:si>
    <x:t xml:space="preserve">FAB-08</x:t>
  </x:si>
  <x:si>
    <x:t xml:space="preserve">fabric-samples/test-network/compose/docker/docker-compose-bft-test-net.yaml</x:t>
  </x:si>
  <x:si>
    <x:t xml:space="preserve">10, 17, 24, 31, 38</x:t>
  </x:si>
  <x:si>
    <x:t xml:space="preserve">BFT Docker override used latest and lacked Docker API override.</x:t>
  </x:si>
  <x:si>
    <x:t xml:space="preserve">Uses ${IMAGETAG:-2.5.16} and DOCKER_API_VERSION=1.40.</x:t>
  </x:si>
  <x:si>
    <x:t xml:space="preserve">Keeps BFT Docker override aligned with the verified Fabric/Docker matrix.</x:t>
  </x:si>
  <x:si>
    <x:t xml:space="preserve">FAB-09</x:t>
  </x:si>
  <x:si>
    <x:t xml:space="preserve">fabric-samples/test-network/addOrg3/compose/compose-ca-org3.yaml</x:t>
  </x:si>
  <x:si>
    <x:t xml:space="preserve">Org3 CA used hyperledger/fabric-ca:latest.</x:t>
  </x:si>
  <x:si>
    <x:t xml:space="preserve">Pins Org3 CA sample config.</x:t>
  </x:si>
  <x:si>
    <x:t xml:space="preserve">FAB-10</x:t>
  </x:si>
  <x:si>
    <x:t xml:space="preserve">fabric-samples/test-network/addOrg3/compose/compose-org3.yaml</x:t>
  </x:si>
  <x:si>
    <x:t xml:space="preserve">Org3 peer used hyperledger/fabric-peer:latest.</x:t>
  </x:si>
  <x:si>
    <x:t xml:space="preserve">Uses ${IMAGETAG:-2.5.16}.</x:t>
  </x:si>
  <x:si>
    <x:t xml:space="preserve">Pins Org3 peer sample config.</x:t>
  </x:si>
  <x:si>
    <x:t xml:space="preserve">FAB-11</x:t>
  </x:si>
  <x:si>
    <x:t xml:space="preserve">fabric-samples/test-network/addOrg3/compose/docker/docker-compose-org3.yaml</x:t>
  </x:si>
  <x:si>
    <x:t xml:space="preserve">16, 23</x:t>
  </x:si>
  <x:si>
    <x:t xml:space="preserve">Org3 Docker override used latest and lacked Docker API override.</x:t>
  </x:si>
  <x:si>
    <x:t xml:space="preserve">Aligns Org3 Docker chaincode launch behavior with the main network.</x:t>
  </x:si>
  <x:si>
    <x:t xml:space="preserve">FAB-12</x:t>
  </x:si>
  <x:si>
    <x:t xml:space="preserve">fabric-samples/test-network/addOrg3/compose/podman/podman-compose-ca-org3.yaml</x:t>
  </x:si>
  <x:si>
    <x:t xml:space="preserve">Org3 Podman CA config used latest.</x:t>
  </x:si>
  <x:si>
    <x:t xml:space="preserve">Removes version drift from the Podman sample config.</x:t>
  </x:si>
  <x:si>
    <x:t xml:space="preserve">FAB-13</x:t>
  </x:si>
  <x:si>
    <x:t xml:space="preserve">fabric-samples/test-network/addOrg3/compose/podman/podman-compose-org3.yaml</x:t>
  </x:si>
  <x:si>
    <x:t xml:space="preserve">Org3 Podman peer config used latest.</x:t>
  </x:si>
  <x:si>
    <x:t xml:space="preserve">P2-01</x:t>
  </x:si>
  <x:si>
    <x:t xml:space="preserve">fabric-samples/dental-record-sharing/chaincode-javascript/lib/dentalRecordSharing.js; test/dentallRecordSharing_test.js</x:t>
  </x:si>
  <x:si>
    <x:t xml:space="preserve">31-66; Phase 2 identity tests</x:t>
  </x:si>
  <x:si>
    <x:t xml:space="preserve">Chaincode role checks did not reject an invoking certificate from an untrusted MSP.</x:t>
  </x:si>
  <x:si>
    <x:t xml:space="preserve">Added _requireMsp validation for Org1MSP/Org2MSP before role checks and added an unknown-MSP role-violation test.</x:t>
  </x:si>
  <x:si>
    <x:t xml:space="preserve">Starts Phase 2 SEC-02 MSP enforcement after the AWS Phase 1 deployment gate passed.</x:t>
  </x:si>
  <x:si>
    <x:t xml:space="preserve">Phase 2 — Fabric Identity</x:t>
  </x:si>
  <x:si>
    <x:t xml:space="preserve">SEC-02; SEC-06; SEC-08; identity-bound FRs</x:t>
  </x:si>
  <x:si>
    <x:t xml:space="preserve">P2-02</x:t>
  </x:si>
  <x:si>
    <x:t xml:space="preserve">dental-backend/index.js; dental-backend/fabricIdentity.js</x:t>
  </x:si>
  <x:si>
    <x:t xml:space="preserve">gateway identity selection</x:t>
  </x:si>
  <x:si>
    <x:t xml:space="preserve">Fabric gateway transactions assumed a shared appUser identity.</x:t>
  </x:si>
  <x:si>
    <x:t xml:space="preserve">Maps verified JWT context to admin-, doctor-, patient-, or system wallet labels and rejects missing identities before connection.</x:t>
  </x:si>
  <x:si>
    <x:t xml:space="preserve">Prevents API users from sharing one Fabric transaction identity.</x:t>
  </x:si>
  <x:si>
    <x:t xml:space="preserve">P2-03</x:t>
  </x:si>
  <x:si>
    <x:t xml:space="preserve">dental-backend/registerRoleIdentities.js; dental-backend/.env.example</x:t>
  </x:si>
  <x:si>
    <x:t xml:space="preserve">role identity enrollment</x:t>
  </x:si>
  <x:si>
    <x:t xml:space="preserve">The wallet contained only admin and shared appUser identities.</x:t>
  </x:si>
  <x:si>
    <x:t xml:space="preserve">Provisions clinic-bound admin, actor-bound doctor/patient, and system X.509 identities with ecert attributes.</x:t>
  </x:si>
  <x:si>
    <x:t xml:space="preserve">Makes chaincode role, actor, and clinic checks available from certificate claims.</x:t>
  </x:si>
  <x:si>
    <x:t xml:space="preserve">P2-04</x:t>
  </x:si>
  <x:si>
    <x:t xml:space="preserve">chaincode tests; dental-backend tests; AWS Fabric basic 1.0.1 sequence 3</x:t>
  </x:si>
  <x:si>
    <x:t xml:space="preserve">Phase 2 verification</x:t>
  </x:si>
  <x:si>
    <x:t xml:space="preserve">No deployed evidence tied role-bound certificates to live chaincode enforcement.</x:t>
  </x:si>
  <x:si>
    <x:t xml:space="preserve">Added 16 unit tests, 4 JWT-to-wallet resolver tests, 9 live gateway identity checks, and deployed chaincode sequence 3 with both MSP approvals.</x:t>
  </x:si>
  <x:si>
    <x:t xml:space="preserve">Provides repeatable Phase 2 security evidence and confirms deployment behavior.</x:t>
  </x:si>
  <x:si>
    <x:t xml:space="preserve">P5-01</x:t>
  </x:si>
  <x:si>
    <x:t xml:space="preserve">database/dump.sql; database/migrations/2026-07-12-phase5-doctor-management.sql</x:t>
  </x:si>
  <x:si>
    <x:t xml:space="preserve">Doctor table; new migration</x:t>
  </x:si>
  <x:si>
    <x:t xml:space="preserve">Doctor lacked license, Emirates ID, clinic scope, and modification metadata.</x:t>
  </x:si>
  <x:si>
    <x:t xml:space="preserve">Added required columns, uniqueness/indexes, schema dump alignment, and an explicit production backfill gate.</x:t>
  </x:si>
  <x:si>
    <x:t xml:space="preserve">Meets the FR-11 field contract without inventing historical production values.</x:t>
  </x:si>
  <x:si>
    <x:t xml:space="preserve">Phase 5 — Doctor Management</x:t>
  </x:si>
  <x:si>
    <x:t xml:space="preserve">FR-11; FR-12; FR-14</x:t>
  </x:si>
  <x:si>
    <x:t xml:space="preserve">The baseline lacked required doctor attributes and migration controls.</x:t>
  </x:si>
  <x:si>
    <x:t xml:space="preserve">P5-02</x:t>
  </x:si>
  <x:si>
    <x:t xml:space="preserve">doctor helpers and POST /doctors</x:t>
  </x:si>
  <x:si>
    <x:t xml:space="preserve">/registerDoctor created only MySQL records through nested callbacks and accepted a caller-supplied ID.</x:t>
  </x:si>
  <x:si>
    <x:t xml:space="preserve">Added validated, transaction-based doctor creation with server UUID, authenticated clinic derivation, uniqueness checks, and Fabric call before commit.</x:t>
  </x:si>
  <x:si>
    <x:t xml:space="preserve">Keeps MySQL user/doctor identity and on-chain registration consistent.</x:t>
  </x:si>
  <x:si>
    <x:t xml:space="preserve">FR-11; SEC-06</x:t>
  </x:si>
  <x:si>
    <x:t xml:space="preserve">Required SRS workflow and consistent identity lifecycle were absent.</x:t>
  </x:si>
  <x:si>
    <x:t xml:space="preserve">P5-03</x:t>
  </x:si>
  <x:si>
    <x:t xml:space="preserve">GET/PUT/DELETE /doctors</x:t>
  </x:si>
  <x:si>
    <x:t xml:space="preserve">No complete clinic-scoped MySQL doctor CRUD API existed.</x:t>
  </x:si>
  <x:si>
    <x:t xml:space="preserve">Added list/search source, read, coordinated update, and coordinated delete with clinic enforcement and assigned-patient conflict protection.</x:t>
  </x:si>
  <x:si>
    <x:t xml:space="preserve">Completes administrative doctor management and prevents cross-clinic mutation.</x:t>
  </x:si>
  <x:si>
    <x:t xml:space="preserve">FR-12; FR-14; SEC-08</x:t>
  </x:si>
  <x:si>
    <x:t xml:space="preserve">Required SRS CRUD capability was absent.</x:t>
  </x:si>
  <x:si>
    <x:t xml:space="preserve">P5-04</x:t>
  </x:si>
  <x:si>
    <x:t xml:space="preserve">addDoctor; UpdateDoctorInfo</x:t>
  </x:si>
  <x:si>
    <x:t xml:space="preserve">Doctor transactions omitted license number; update lost Emirates ID and stored patient arrays inconsistently.</x:t>
  </x:si>
  <x:si>
    <x:t xml:space="preserve">Added license number and Emirates ID preservation, deterministic array parsing, and doctor document type.</x:t>
  </x:si>
  <x:si>
    <x:t xml:space="preserve">Aligns on-chain doctor registration/update contracts with Phase 5 payloads.</x:t>
  </x:si>
  <x:si>
    <x:t xml:space="preserve">FR-11; FR-12</x:t>
  </x:si>
  <x:si>
    <x:t xml:space="preserve">Repairs existing transaction shape while extending it for SRS fields.</x:t>
  </x:si>
  <x:si>
    <x:t xml:space="preserve">P5-05</x:t>
  </x:si>
  <x:si>
    <x:t xml:space="preserve">doctor routes</x:t>
  </x:si>
  <x:si>
    <x:t xml:space="preserve">Blockchain doctor payloads did not require or forward license number.</x:t>
  </x:si>
  <x:si>
    <x:t xml:space="preserve">Create/update routes validate and forward licenseNumber and emiratesID with existing JWT/MSP clinic binding.</x:t>
  </x:si>
  <x:si>
    <x:t xml:space="preserve">Preserves Phase 2 authorization while completing doctor payload parity.</x:t>
  </x:si>
  <x:si>
    <x:t xml:space="preserve">FR-11; FR-12; SEC-02; SEC-06</x:t>
  </x:si>
  <x:si>
    <x:t xml:space="preserve">Required field support was absent.</x:t>
  </x:si>
  <x:si>
    <x:t xml:space="preserve">P5-06</x:t>
  </x:si>
  <x:si>
    <x:t xml:space="preserve">dental-backend/index.js; bc-dentistry-frontend/src/assets/Pages/Patients.jsx</x:t>
  </x:si>
  <x:si>
    <x:t xml:space="preserve">GET /doctor/me/assigned-patients</x:t>
  </x:si>
  <x:si>
    <x:t xml:space="preserve">Doctor patient retrieval accepted a route doctor ID, relying on mismatch middleware.</x:t>
  </x:si>
  <x:si>
    <x:t xml:space="preserve">Added parameter-free self route deriving doctorID solely from verified JWT; UI now uses it. Chaincode retains actor certificate enforcement.</x:t>
  </x:si>
  <x:si>
    <x:t xml:space="preserve">Removes the spoofable identity input surface at API and UI boundaries.</x:t>
  </x:si>
  <x:si>
    <x:t xml:space="preserve">FR-13; SEC-02; SEC-06</x:t>
  </x:si>
  <x:si>
    <x:t xml:space="preserve">Hardens an existing partial workflow to the required identity guarantee.</x:t>
  </x:si>
  <x:si>
    <x:t xml:space="preserve">P5-07</x:t>
  </x:si>
  <x:si>
    <x:t xml:space="preserve">bc-dentistry-frontend/src/assets/Pages/Doctors.jsx</x:t>
  </x:si>
  <x:si>
    <x:t xml:space="preserve">new page</x:t>
  </x:si>
  <x:si>
    <x:t xml:space="preserve">No admin doctor management UI existed.</x:t>
  </x:si>
  <x:si>
    <x:t xml:space="preserve">Added clinic-scoped list/search, create/update/delete forms, confirmation prompts, loading/empty/success/error states, and license display.</x:t>
  </x:si>
  <x:si>
    <x:t xml:space="preserve">Completes the admin-facing FR-11 to FR-14 workflow.</x:t>
  </x:si>
  <x:si>
    <x:t xml:space="preserve">FR-11 to FR-14</x:t>
  </x:si>
  <x:si>
    <x:t xml:space="preserve">Required SRS UI capability was absent.</x:t>
  </x:si>
  <x:si>
    <x:t xml:space="preserve">P5-08</x:t>
  </x:si>
  <x:si>
    <x:t xml:space="preserve">bc-dentistry-frontend/src/App.jsx; assets/Pages/index.js; assets/Sections/Navbar.jsx</x:t>
  </x:si>
  <x:si>
    <x:t xml:space="preserve">routing/navigation</x:t>
  </x:si>
  <x:si>
    <x:t xml:space="preserve">No admin route or navigation entry existed for doctors.</x:t>
  </x:si>
  <x:si>
    <x:t xml:space="preserve">Added admin-only Doctors route, export, and role-gated navigation entry.</x:t>
  </x:si>
  <x:si>
    <x:t xml:space="preserve">Makes doctor management discoverable only to admins.</x:t>
  </x:si>
  <x:si>
    <x:t xml:space="preserve">FR-03; FR-11 to FR-14</x:t>
  </x:si>
  <x:si>
    <x:t xml:space="preserve">Required admin UI entry point was absent.</x:t>
  </x:si>
  <x:si>
    <x:t xml:space="preserve">P5-09</x:t>
  </x:si>
  <x:si>
    <x:t xml:space="preserve">dental-backend/test/phase5DoctorManagement.test.js; phase4PatientManagement.test.js</x:t>
  </x:si>
  <x:si>
    <x:t xml:space="preserve">source tests</x:t>
  </x:si>
  <x:si>
    <x:t xml:space="preserve">No Phase 5 regression checks existed; Phase 4 delete test used a global string position.</x:t>
  </x:si>
  <x:si>
    <x:t xml:space="preserve">Added doctor payload/CRUD/identity/clinic checks and scoped the Phase 4 assertion to its route.</x:t>
  </x:si>
  <x:si>
    <x:t xml:space="preserve">Provides repeatable source evidence without false failures from new doctor delete logic.</x:t>
  </x:si>
  <x:si>
    <x:t xml:space="preserve">FR-11 to FR-14; SEC-06</x:t>
  </x:si>
  <x:si>
    <x:t xml:space="preserve">Test evidence and regression maintenance.</x:t>
  </x:si>
  <x:si>
    <x:t xml:space="preserve">P6-01</x:t>
  </x:si>
  <x:si>
    <x:t xml:space="preserve">database/migrations/2026-07-12-phase6-clinical-records.sql; database/dump.sql</x:t>
  </x:si>
  <x:si>
    <x:t xml:space="preserve">Clinical_Record off-chain schema</x:t>
  </x:si>
  <x:si>
    <x:t xml:space="preserve">No authoritative off-chain store existed for complete medical and dental payloads.</x:t>
  </x:si>
  <x:si>
    <x:t xml:space="preserve">Added typed clinical records with JSON payload, SHA-256 hash, creator doctor, timestamps, indexes, and patient foreign key.</x:t>
  </x:si>
  <x:si>
    <x:t xml:space="preserve">Keeps clinical payloads in MySQL while supporting traceable ledger anchors.</x:t>
  </x:si>
  <x:si>
    <x:t xml:space="preserve">Phase 6 — Clinical Record Management</x:t>
  </x:si>
  <x:si>
    <x:t xml:space="preserve">FR-15; FR-17; SEC-08</x:t>
  </x:si>
  <x:si>
    <x:t xml:space="preserve">Required persistence capability was absent.</x:t>
  </x:si>
  <x:si>
    <x:t xml:space="preserve">P6-02</x:t>
  </x:si>
  <x:si>
    <x:t xml:space="preserve">clinical create/read API and validation</x:t>
  </x:si>
  <x:si>
    <x:t xml:space="preserve">No coordinated API accepted complete medical/dental fields or retrieved them for authorized actors.</x:t>
  </x:si>
  <x:si>
    <x:t xml:space="preserve">Added canonical and legacy-alias create/read routes, complete field validation, SHA-256 generation, MySQL persistence, Fabric anchoring, and rollback on anchor failure.</x:t>
  </x:si>
  <x:si>
    <x:t xml:space="preserve">Provides complete doctor entry and authorized patient/doctor retrieval without placing clinical payloads on-chain.</x:t>
  </x:si>
  <x:si>
    <x:t xml:space="preserve">FR-15; FR-16; FR-17; FR-18</x:t>
  </x:si>
  <x:si>
    <x:t xml:space="preserve">Required API workflow was absent.</x:t>
  </x:si>
  <x:si>
    <x:t xml:space="preserve">P6-03</x:t>
  </x:si>
  <x:si>
    <x:t xml:space="preserve">metadata-only clinical transactions</x:t>
  </x:si>
  <x:si>
    <x:t xml:space="preserve">Legacy medical/dental functions accepted full record payloads and did not implement a safe metadata boundary.</x:t>
  </x:si>
  <x:si>
    <x:t xml:space="preserve">Implemented metadata-only medical/dental writes and reads containing record reference, type, SHA-256 hash, patient, and creator.</x:t>
  </x:si>
  <x:si>
    <x:t xml:space="preserve">Preserves immutable evidence while clinical contents remain off-chain.</x:t>
  </x:si>
  <x:si>
    <x:t xml:space="preserve">Repairs legacy methods while adding the required privacy boundary.</x:t>
  </x:si>
  <x:si>
    <x:t xml:space="preserve">P6-04</x:t>
  </x:si>
  <x:si>
    <x:t xml:space="preserve">clinical metadata, access, and audit API</x:t>
  </x:si>
  <x:si>
    <x:t xml:space="preserve">Clinical reads were not consistently enforced at Fabric and did not automatically create immutable access logs.</x:t>
  </x:si>
  <x:si>
    <x:t xml:space="preserve">Added doctor/patient metadata routes with actor-self, assigned-doctor, consent-approved external-doctor, and patient-owner enforcement; approved reads invoke LogClinicalAccess.</x:t>
  </x:si>
  <x:si>
    <x:t xml:space="preserve">Enforces Phase 6 clinical access at the blockchain boundary and records every approved retrieval.</x:t>
  </x:si>
  <x:si>
    <x:t xml:space="preserve">FR-16; FR-18; SEC-02; SEC-06; SEC-08</x:t>
  </x:si>
  <x:si>
    <x:t xml:space="preserve">Required access and audit orchestration was absent.</x:t>
  </x:si>
  <x:si>
    <x:t xml:space="preserve">P6-05</x:t>
  </x:si>
  <x:si>
    <x:t xml:space="preserve">bc-dentistry-frontend/src/assets/components/Patient/ClinicalRecords.jsx; Pages/Patient.jsx</x:t>
  </x:si>
  <x:si>
    <x:t xml:space="preserve">clinical record UI</x:t>
  </x:si>
  <x:si>
    <x:t xml:space="preserve">Patient and doctor screens lacked complete clinical entry and history views.</x:t>
  </x:si>
  <x:si>
    <x:t xml:space="preserve">Added doctor medical/dental entry forms and patient/doctor history display for allergies, labs, medications, treatment phase, procedure, tooth, ceramic, prescriptions, and diagnostics.</x:t>
  </x:si>
  <x:si>
    <x:t xml:space="preserve">Makes the complete Phase 6 workflow available in the existing patient workspace.</x:t>
  </x:si>
  <x:si>
    <x:t xml:space="preserve">Required UI support was absent.</x:t>
  </x:si>
  <x:si>
    <x:t xml:space="preserve">P6-06</x:t>
  </x:si>
  <x:si>
    <x:t xml:space="preserve">dental-backend/test/phase6ClinicalRecords.test.js; chaincode test/dentallRecordSharing_test.js</x:t>
  </x:si>
  <x:si>
    <x:t xml:space="preserve">Phase 6 source test coverage</x:t>
  </x:si>
  <x:si>
    <x:t xml:space="preserve">No tests covered complete fields, off-chain payloads, metadata-only anchors, retrieval, access denial, or audit logging.</x:t>
  </x:si>
  <x:si>
    <x:t xml:space="preserve">Added API/source and direct chaincode tests covering the full medical/dental and authorization contract.</x:t>
  </x:si>
  <x:si>
    <x:t xml:space="preserve">Provides repeatable evidence for all Phase 6 exit criteria.</x:t>
  </x:si>
  <x:si>
    <x:t xml:space="preserve">FR-15; FR-16; FR-17; FR-18; SEC-08</x:t>
  </x:si>
  <x:si>
    <x:t xml:space="preserve">Test evidence was absent.</x:t>
  </x:si>
  <x:si>
    <x:t xml:space="preserve">P6-07</x:t>
  </x:si>
  <x:si>
    <x:t xml:space="preserve">dentalRecordSharing.js LogClinicalAccess</x:t>
  </x:si>
  <x:si>
    <x:t xml:space="preserve">deterministic immutable audit timestamp</x:t>
  </x:si>
  <x:si>
    <x:t xml:space="preserve">Initial deployment used wall-clock time, causing multi-endorser write-set mismatch.</x:t>
  </x:si>
  <x:si>
    <x:t xml:space="preserve">Changed access-log timestamps to the Fabric transaction timestamp and redeployed the corrected chaincode.</x:t>
  </x:si>
  <x:si>
    <x:t xml:space="preserve">Makes automatic clinical access logging deterministic and endorsable across organizations.</x:t>
  </x:si>
  <x:si>
    <x:t xml:space="preserve">FR-18; SEC-08</x:t>
  </x:si>
  <x:si>
    <x:t xml:space="preserve">Runtime defect found and corrected during AWS smoke testing.</x:t>
  </x:si>
  <x:si>
    <x:t xml:space="preserve">P6-08</x:t>
  </x:si>
  <x:si>
    <x:t xml:space="preserve">Outputs/SRS_Compliance_Base/Phase6_Clinical_Records_Deployment.md; base docs; EDR_Remediation_Change_Log.md</x:t>
  </x:si>
  <x:si>
    <x:t xml:space="preserve">Phase 6 design and traceability</x:t>
  </x:si>
  <x:si>
    <x:t xml:space="preserve">Clinical storage, API, access, audit, deployment, and verification evidence were not documented.</x:t>
  </x:si>
  <x:si>
    <x:t xml:space="preserve">Documented architecture, metadata boundary, migration, API/UI behavior, AWS sequence, smoke evidence, and remaining operational notes.</x:t>
  </x:si>
  <x:si>
    <x:t xml:space="preserve">Makes the implementation and compliance evidence auditable.</x:t>
  </x:si>
  <x:si>
    <x:t xml:space="preserve">Required documentation evidence.</x:t>
  </x:si>
  <x:si>
    <x:t xml:space="preserve">P6-09</x:t>
  </x:si>
  <x:si>
    <x:t xml:space="preserve">.deployment/phase6-completion-deploy.sh; .deployment/phase6-completion-smoke.js; AWS /home/ubuntu/EDR</x:t>
  </x:si>
  <x:si>
    <x:t xml:space="preserve">AWS Phase 6 deployment and smoke verification</x:t>
  </x:si>
  <x:si>
    <x:t xml:space="preserve">Phase 6 had not been migrated, deployed, or exercised end to end.</x:t>
  </x:si>
  <x:si>
    <x:t xml:space="preserve">Backed up the VM, applied migration, committed basic 1.0.7 sequence 9 with both MSP approvals, rebuilt/restarted APIs, built/deployed UI, and passed create/read/access/audit smoke checks.</x:t>
  </x:si>
  <x:si>
    <x:t xml:space="preserve">Proves complete medical/dental entry, authorized retrieval, unauthorized denial, and immutable automatic access logging on AWS.</x:t>
  </x:si>
  <x:si>
    <x:t xml:space="preserve">Executed AWS deployment evidence.</x:t>
  </x:si>
  <x:si>
    <x:t xml:space="preserve">P7-01</x:t>
  </x:si>
  <x:si>
    <x:t xml:space="preserve">dental-backend/index.js; radiographicIntegrity.js</x:t>
  </x:si>
  <x:si>
    <x:t xml:space="preserve">POST /radiographic-files; integrity helpers</x:t>
  </x:si>
  <x:si>
    <x:t xml:space="preserve">No off-chain upload or SHA-256 binary workflow existed.</x:t>
  </x:si>
  <x:si>
    <x:t xml:space="preserve">Added doctor-only raw binary upload, UUID filesystem keys, configurable size/root, streaming SHA-256, and rollback when Fabric anchoring fails.</x:t>
  </x:si>
  <x:si>
    <x:t xml:space="preserve">Creates the off-chain file safely and binds its exact bytes to a digest.</x:t>
  </x:si>
  <x:si>
    <x:t xml:space="preserve">Phase 7 — DICOM And Integrity</x:t>
  </x:si>
  <x:si>
    <x:t xml:space="preserve">FR-19; SEC-04</x:t>
  </x:si>
  <x:si>
    <x:t xml:space="preserve">Required upload and hashing capability was absent.</x:t>
  </x:si>
  <x:si>
    <x:t xml:space="preserve">P7-02</x:t>
  </x:si>
  <x:si>
    <x:t xml:space="preserve">AddDentalFileMetadata; GetDentalFile; getDentalFiles</x:t>
  </x:si>
  <x:si>
    <x:t xml:space="preserve">Legacy addDentalFile accepted only CID metadata and no integrity hash.</x:t>
  </x:si>
  <x:si>
    <x:t xml:space="preserve">Added metadata-only file transactions with SHA-256 validation, opaque references, and Phase 6 patient record access enforcement; disabled legacy unhashed writes.</x:t>
  </x:si>
  <x:si>
    <x:t xml:space="preserve">Prevents file contents from entering Fabric while preserving immutable integrity evidence.</x:t>
  </x:si>
  <x:si>
    <x:t xml:space="preserve">Repairs a partial legacy path and adds the required security guarantee.</x:t>
  </x:si>
  <x:si>
    <x:t xml:space="preserve">P7-03</x:t>
  </x:si>
  <x:si>
    <x:t xml:space="preserve">GET file list; GET verify-integrity</x:t>
  </x:si>
  <x:si>
    <x:t xml:space="preserve">No API compared current off-chain bytes with on-chain metadata.</x:t>
  </x:si>
  <x:si>
    <x:t xml:space="preserve">Added access-controlled metadata listing and verification returning verified, mismatch, missing file, or unknown.</x:t>
  </x:si>
  <x:si>
    <x:t xml:space="preserve">Provides explicit integrity outcomes without exposing the stored binary.</x:t>
  </x:si>
  <x:si>
    <x:t xml:space="preserve">FR-20; SEC-04</x:t>
  </x:si>
  <x:si>
    <x:t xml:space="preserve">Required verification service was absent.</x:t>
  </x:si>
  <x:si>
    <x:t xml:space="preserve">P7-04</x:t>
  </x:si>
  <x:si>
    <x:t xml:space="preserve">bc-dentistry-frontend/src/assets/components/Patient/RadiographicFiles.jsx; Pages/Patient.jsx</x:t>
  </x:si>
  <x:si>
    <x:t xml:space="preserve">patient radiographic integrity panel</x:t>
  </x:si>
  <x:si>
    <x:t xml:space="preserve">Patient detail had only a hard-coded sample DICOM viewer and no real metadata/status workflow.</x:t>
  </x:si>
  <x:si>
    <x:t xml:space="preserve">Added patient/doctor/admin metadata list, integrity status badges, verification action, and doctor upload control.</x:t>
  </x:si>
  <x:si>
    <x:t xml:space="preserve">Makes Phase 7 integrity evidence visible in the existing patient workflow.</x:t>
  </x:si>
  <x:si>
    <x:t xml:space="preserve">FR-19; FR-20</x:t>
  </x:si>
  <x:si>
    <x:t xml:space="preserve">P7-05</x:t>
  </x:si>
  <x:si>
    <x:t xml:space="preserve">RADIOGRAPHIC_STORAGE_ROOT; RADIOGRAPHIC_MAX_FILE_BYTES</x:t>
  </x:si>
  <x:si>
    <x:t xml:space="preserve">Large-file storage location and upload ceiling were undefined.</x:t>
  </x:si>
  <x:si>
    <x:t xml:space="preserve">Added configurable private filesystem root and a 512 MiB default maximum.</x:t>
  </x:si>
  <x:si>
    <x:t xml:space="preserve">Separates persistent clinical file storage from source code and makes capacity policy explicit.</x:t>
  </x:si>
  <x:si>
    <x:t xml:space="preserve">Required operational storage configuration was absent.</x:t>
  </x:si>
  <x:si>
    <x:t xml:space="preserve">P7-06</x:t>
  </x:si>
  <x:si>
    <x:t xml:space="preserve">dental-backend/test/phase7DicomIntegrity.test.js; chaincode test/dentallRecordSharing_test.js</x:t>
  </x:si>
  <x:si>
    <x:t xml:space="preserve">Phase 7 source tests</x:t>
  </x:si>
  <x:si>
    <x:t xml:space="preserve">No upload/hash/integrity/tamper/missing/unauthorized tests existed.</x:t>
  </x:si>
  <x:si>
    <x:t xml:space="preserve">Added functional SHA-256 success, mismatch, missing, and unknown tests plus metadata-only, route, assigned-doctor, and unauthorized-doctor checks.</x:t>
  </x:si>
  <x:si>
    <x:t xml:space="preserve">Provides repeatable source evidence for all Phase 7 failure states and access controls.</x:t>
  </x:si>
  <x:si>
    <x:t xml:space="preserve">FR-19; FR-20; SEC-04</x:t>
  </x:si>
  <x:si>
    <x:t xml:space="preserve">Test evidence was absent; AWS execution remains pending.</x:t>
  </x:si>
  <x:si>
    <x:t xml:space="preserve">P7-07</x:t>
  </x:si>
  <x:si>
    <x:t xml:space="preserve">Outputs/SRS_Compliance_Base/Phase7_DICOM_Storage_And_Deployment.md; base docs; EDR_Remediation_Change_Log.md</x:t>
  </x:si>
  <x:si>
    <x:t xml:space="preserve">storage decision and source checkpoint</x:t>
  </x:si>
  <x:si>
    <x:t xml:space="preserve">Storage tradeoffs, API contract, deployment gate, and Phase 7 status were not documented.</x:t>
  </x:si>
  <x:si>
    <x:t xml:space="preserve">Documented private filesystem rationale, metadata boundary, API headers/statuses, AWS steps, source completion, and pending deployment evidence.</x:t>
  </x:si>
  <x:si>
    <x:t xml:space="preserve">Makes architecture and execution boundaries auditable without claiming unexecuted AWS work.</x:t>
  </x:si>
  <x:si>
    <x:t xml:space="preserve">Required design and traceability documentation.</x:t>
  </x:si>
  <x:si>
    <x:t xml:space="preserve">P7-08</x:t>
  </x:si>
  <x:si>
    <x:t xml:space="preserve">.deployment/phase7-deploy.sh; phase7-smoke.js; AWS /home/ubuntu/EDR</x:t>
  </x:si>
  <x:si>
    <x:t xml:space="preserve">AWS Phase 7 deployment and smoke verification</x:t>
  </x:si>
  <x:si>
    <x:t xml:space="preserve">Phase 7 source was not deployed and persistent radiographic storage was not configured.</x:t>
  </x:si>
  <x:si>
    <x:t xml:space="preserve">Created two backups, configured /var/lib/edr/radiographic-files mode 0700, committed basic 1.0.5 sequence 7 with both MSP approvals, restarted API, built/deployed UI, and passed upload/verified/patient/admin/unauthorized/mismatch/missing smoke checks.</x:t>
  </x:si>
  <x:si>
    <x:t xml:space="preserve">Proves the complete FR-19/FR-20/SEC-04 workflow on the AWS test system without storing file bytes on-chain.</x:t>
  </x:si>
  <x:si>
    <x:t xml:space="preserve">Executed AWS deployment evidence; no MySQL migration was required.</x:t>
  </x:si>
  <x:si>
    <x:t xml:space="preserve">P7A-01</x:t>
  </x:si>
  <x:si>
    <x:t xml:space="preserve">legacy Appointment and Doctor list routes</x:t>
  </x:si>
  <x:si>
    <x:t xml:space="preserve">Legacy compatibility routes returned unscoped global appointment and doctor database rows to broad authenticated roles.</x:t>
  </x:si>
  <x:si>
    <x:t xml:space="preserve">Replaced global SELECT queries with JWT-derived admin-clinic, doctor-self, and patient-self predicates and explicit response fields/DTOs.</x:t>
  </x:si>
  <x:si>
    <x:t xml:space="preserve">Prevents cross-clinic and cross-actor enumeration from the web compatibility APIs.</x:t>
  </x:si>
  <x:si>
    <x:t xml:space="preserve">Phase 7A — Web Frontend Stabilization</x:t>
  </x:si>
  <x:si>
    <x:t xml:space="preserve">SEC-01; SEC-06; FR-11; FR-29</x:t>
  </x:si>
  <x:si>
    <x:t xml:space="preserve">Existing authenticated routes were unsafe because tenant and actor scope was missing.</x:t>
  </x:si>
  <x:si>
    <x:t xml:space="preserve">P7A-02</x:t>
  </x:si>
  <x:si>
    <x:t xml:space="preserve">doctor-authorized patient detail and assigned-patient list</x:t>
  </x:si>
  <x:si>
    <x:t xml:space="preserve">The doctor web list received metadata-only ledger records and patient detail depended on a broad client path.</x:t>
  </x:si>
  <x:si>
    <x:t xml:space="preserve">Added a parameter-free doctor self list that revalidates Fabric actor binding, filters MySQL by assigned doctor, and permits patient detail only for assigned doctors.</x:t>
  </x:si>
  <x:si>
    <x:t xml:space="preserve">Makes the Phase 4-7 patient, clinical, and DICOM work usable from the doctor web frontend without weakening assignment controls.</x:t>
  </x:si>
  <x:si>
    <x:t xml:space="preserve">FR-13; FR-15; FR-16; FR-17; FR-19; SEC-03; SEC-06</x:t>
  </x:si>
  <x:si>
    <x:t xml:space="preserve">A complete authorized web projection of the implemented backend data did not exist.</x:t>
  </x:si>
  <x:si>
    <x:t xml:space="preserve">P7A-03</x:t>
  </x:si>
  <x:si>
    <x:t xml:space="preserve">bc-dentistry-frontend/src/App.jsx; assets/components/ProtectedRoute.jsx; assets/utils/auth.js; assets/Sections/Topbar.jsx</x:t>
  </x:si>
  <x:si>
    <x:t xml:space="preserve">web route and session boundary</x:t>
  </x:si>
  <x:si>
    <x:t xml:space="preserve">Clinical routes rendered without a central authentication boundary, token expiry handling, unauthorized routing, or logout.</x:t>
  </x:si>
  <x:si>
    <x:t xml:space="preserve">Added protected role routes, JWT expiry validation, centralized session clearing, unauthorized handling, periodic expiry refresh, and explicit logout.</x:t>
  </x:si>
  <x:si>
    <x:t xml:space="preserve">Prevents stale or absent sessions from rendering clinical application routes and gives shared-workstation users a safe exit.</x:t>
  </x:si>
  <x:si>
    <x:t xml:space="preserve">SEC-01; SEC-06; Section 6.5 usability</x:t>
  </x:si>
  <x:si>
    <x:t xml:space="preserve">Required web session and route controls were absent.</x:t>
  </x:si>
  <x:si>
    <x:t xml:space="preserve">P7A-04</x:t>
  </x:si>
  <x:si>
    <x:t xml:space="preserve">bc-dentistry-frontend patient/login/navigation components</x:t>
  </x:si>
  <x:si>
    <x:t xml:space="preserve">patient visibility and production data handling</x:t>
  </x:si>
  <x:si>
    <x:t xml:space="preserve">Patient screens logged identity/payload details, doctors received incomplete cards, patient detail used a misleading client sharing check, and login exposed a non-authoritative role selector/signup path.</x:t>
  </x:si>
  <x:si>
    <x:t xml:space="preserve">Switched patient screens to scoped Database API projections, removed the client security decision and public signup/role selector, added explicit loading/error states, and stripped console/debug statements from production builds.</x:t>
  </x:si>
  <x:si>
    <x:t xml:space="preserve">Makes deployed Phase 4-7 workflows usable and reduces browser-side disclosure or misleading authorization behavior.</x:t>
  </x:si>
  <x:si>
    <x:t xml:space="preserve">FR-05 to FR-20; SEC-01; SEC-03; SEC-06</x:t>
  </x:si>
  <x:si>
    <x:t xml:space="preserve">Repairs existing views while completing the safe integration of already implemented workflows.</x:t>
  </x:si>
  <x:si>
    <x:t xml:space="preserve">P7A-05</x:t>
  </x:si>
  <x:si>
    <x:t xml:space="preserve">bc-dentistry-frontend dashboard, LabResults, Settings, Info, Navbar</x:t>
  </x:si>
  <x:si>
    <x:t xml:space="preserve">placeholder and dead-end web workflows</x:t>
  </x:si>
  <x:si>
    <x:t xml:space="preserve">Dashboard appointment metrics and lab results presented local/sample data; Settings and Info were blank; secondary navigation did not route correctly.</x:t>
  </x:si>
  <x:si>
    <x:t xml:space="preserve">Dashboard now uses scoped appointment data, sample lab results are explicitly disabled, account/info pages are meaningful, navigation is routed, and unavailable data is labeled instead of fabricated.</x:t>
  </x:si>
  <x:si>
    <x:t xml:space="preserve">Prevents demo information from being mistaken for clinical truth and removes dead-end web navigation.</x:t>
  </x:si>
  <x:si>
    <x:t xml:space="preserve">FR-29; Section 6.5 usability; SEC-03</x:t>
  </x:si>
  <x:si>
    <x:t xml:space="preserve">Existing visible behavior was misleading or non-functional.</x:t>
  </x:si>
  <x:si>
    <x:t xml:space="preserve">P7A-06</x:t>
  </x:si>
  <x:si>
    <x:t xml:space="preserve">bc-dentistry-frontend/.eslintrc.cjs; vite.config.js; src/index.css; package.json</x:t>
  </x:si>
  <x:si>
    <x:t xml:space="preserve">frontend quality and production configuration</x:t>
  </x:si>
  <x:si>
    <x:t xml:space="preserve">ESLint could not load, production retained console statements, font URLs were unresolved, all routes were eager, and CSS applied global transitions.</x:t>
  </x:si>
  <x:si>
    <x:t xml:space="preserve">Repaired the ESLint configuration, added frontend tests, strips production console/debug statements, corrected local font URLs, removed unsafe global transitions/remote login image, and lazy-loads patient detail.</x:t>
  </x:si>
  <x:si>
    <x:t xml:space="preserve">Restores repeatable quality checks, reduces production disclosure and bundle cost, and removes external login-page dependency.</x:t>
  </x:si>
  <x:si>
    <x:t xml:space="preserve">SEC-03; Section 6.5 usability; supporting NFR reliability</x:t>
  </x:si>
  <x:si>
    <x:t xml:space="preserve">Frontend quality controls and runtime asset configuration were defective.</x:t>
  </x:si>
  <x:si>
    <x:t xml:space="preserve">P7A-07</x:t>
  </x:si>
  <x:si>
    <x:t xml:space="preserve">docker-compose.yml; bc-dentistry-frontend/Dockerfile; nginx.conf; .dockerignore</x:t>
  </x:si>
  <x:si>
    <x:t xml:space="preserve">containerized web delivery and same-origin API proxy</x:t>
  </x:si>
  <x:si>
    <x:t xml:space="preserve">The active Compose stack had no frontend service and browser builds depended on host-local API ports.</x:t>
  </x:si>
  <x:si>
    <x:t xml:space="preserve">Added a multi-stage Node/Nginx frontend image, SPA routing, same-origin Database/Blockchain API proxies, health check, Compose service, and explicit Fabric host exception.</x:t>
  </x:si>
  <x:si>
    <x:t xml:space="preserve">Makes the web application reproducibly deliverable by Compose while retaining the documented Fabric tooling boundary.</x:t>
  </x:si>
  <x:si>
    <x:t xml:space="preserve">Architecture; reliability; SEC-01; Phase 11 partial</x:t>
  </x:si>
  <x:si>
    <x:t xml:space="preserve">A required non-Fabric application service was absent from Compose.</x:t>
  </x:si>
  <x:si>
    <x:t xml:space="preserve">P7A-08</x:t>
  </x:si>
  <x:si>
    <x:t xml:space="preserve">dental-backend/test/phase7AFrontendStabilization.test.js; bc-dentistry-frontend/test/phase7AFrontendStabilization.test.js; local verification</x:t>
  </x:si>
  <x:si>
    <x:t xml:space="preserve">Phase 7A source verification</x:t>
  </x:si>
  <x:si>
    <x:t xml:space="preserve">No focused regression tests protected appointment/doctor scoping, assigned-patient projection, route guards, session expiry, or demo-data removal.</x:t>
  </x:si>
  <x:si>
    <x:t xml:space="preserve">Added 4 API/source and 4 frontend tests; all 24 combined API/source tests and all 4 frontend tests pass, along with backend syntax, frontend lint, production build, Compose config, and HTTP 200 bundle serving.</x:t>
  </x:si>
  <x:si>
    <x:t xml:space="preserve">Provides repeatable source evidence for the Phase 7A stabilization gate.</x:t>
  </x:si>
  <x:si>
    <x:t xml:space="preserve">SEC-01; SEC-03; SEC-06; FR-05 to FR-20; FR-29</x:t>
  </x:si>
  <x:si>
    <x:t xml:space="preserve">Source verification evidence was absent; live Docker/AWS rollout remains separate.</x:t>
  </x:si>
  <x:si>
    <x:t xml:space="preserve">P7A-09</x:t>
  </x:si>
  <x:si>
    <x:t xml:space="preserve">Outputs/SRS_Compliance_Base frontend audit, roadmap, matrix, checklist, startup context; EDR_Remediation_Change_Log.md</x:t>
  </x:si>
  <x:si>
    <x:t xml:space="preserve">Phase 7A planning and evidence</x:t>
  </x:si>
  <x:si>
    <x:t xml:space="preserve">The roadmap did not contain a frontend stabilization gate and the comprehensive frontend findings were not routed into phase tracking.</x:t>
  </x:si>
  <x:si>
    <x:t xml:space="preserve">Added Phase 7A between Phases 7 and 8 and synchronized implementation status, evidence, remaining runtime gates, and the completed-fix record.</x:t>
  </x:si>
  <x:si>
    <x:t xml:space="preserve">Keeps future remediation work aligned to the verified frontend state without renumbering existing phases.</x:t>
  </x:si>
  <x:si>
    <x:t xml:space="preserve">Client readiness; traceability; Section 8 evidence</x:t>
  </x:si>
  <x:si>
    <x:t xml:space="preserve">Required traceability and handoff evidence.</x:t>
  </x:si>
  <x:si>
    <x:t xml:space="preserve">P7A-10</x:t>
  </x:si>
  <x:si>
    <x:t xml:space="preserve">AWS /home/ubuntu/EDR; /var/www/edr; Nginx; Docker Database API; PM2 Blockchain API</x:t>
  </x:si>
  <x:si>
    <x:t xml:space="preserve">Phase 7A AWS deployment and authenticated runtime verification</x:t>
  </x:si>
  <x:si>
    <x:t xml:space="preserve">Phase 7A source fixes had not yet been published or exercised against the live runtime topology.</x:t>
  </x:si>
  <x:si>
    <x:t xml:space="preserve">Backed up the VM, fast-forwarded to d6ecc1b, rebuilt the Database API, rebuilt/copied the frontend to Nginx, validated services/proxy health, and passed authenticated admin/doctor/patient scoped-data smoke checks.</x:t>
  </x:si>
  <x:si>
    <x:t xml:space="preserve">Proves the frontend stabilization fixes are live in the accepted AWS topology and that patient/doctor/appointment visibility boundaries operate with deployed identity data.</x:t>
  </x:si>
  <x:si>
    <x:t xml:space="preserve">SEC-01; SEC-03; SEC-06; FR-03; FR-04; FR-13; FR-29</x:t>
  </x:si>
  <x:si>
    <x:t xml:space="preserve">Backup /home/ubuntu/deployment-backups/20260713-075154-phase7a-predeploy; PHASE7A_AUTHENTICATED_SMOKE_OK and PHASE7A_FINAL_VERIFY_OK.</x:t>
  </x:si>
  <x:si>
    <x:t xml:space="preserve">P7A-11</x:t>
  </x:si>
  <x:si>
    <x:t xml:space="preserve">bc-dentistry-frontend/src/assets/Sections/Appointments/AppointmentsSection.jsx; test/phase7AFrontendStabilization.test.js</x:t>
  </x:si>
  <x:si>
    <x:t xml:space="preserve">appointments response envelope rendering</x:t>
  </x:si>
  <x:si>
    <x:t xml:space="preserve">The deployed appointments API returned { success, data }, but the page stored the envelope object and called .map() on it, causing a blank white page and browser exception.</x:t>
  </x:si>
  <x:si>
    <x:t xml:space="preserve">Unwrapped and validated data.data, added centralized 401 handling plus loading/error/empty states, and added a regression preventing direct envelope assignment.</x:t>
  </x:si>
  <x:si>
    <x:t xml:space="preserve">Restores the deployed appointments page and prevents API-shape errors from crashing the entire React route.</x:t>
  </x:si>
  <x:si>
    <x:t xml:space="preserve">FR-29; SEC-01; Section 6.5 usability</x:t>
  </x:si>
  <x:si>
    <x:t xml:space="preserve">Commit 767400d; standalone Playwright reproduced e.map is not a function before deployment and verified zero page/console errors after deployment.</x:t>
  </x:si>
  <x:si>
    <x:t xml:space="preserve">P8-01</x:t>
  </x:si>
  <x:si>
    <x:t xml:space="preserve">RequestDataAccess; ApproveRequest; ProvideConsent; RejectRequest; RevokeConsent; LogClinicalAccess; notification helpers</x:t>
  </x:si>
  <x:si>
    <x:t xml:space="preserve">Consent requests had incomplete metadata, no ledger notification records, no revocation path, and limited audit context.</x:t>
  </x:si>
  <x:si>
    <x:t xml:space="preserve">Added enriched request metadata, admin/patient/doctor notifications, consent actor/MSP/tx evidence, patient revocation, sharing cleanup, and access-basis/request audit context.</x:t>
  </x:si>
  <x:si>
    <x:t xml:space="preserve">Completes the ledger-side Doctor -&gt; Admin -&gt; Patient consent workflow and makes consent decisions/revocations auditable.</x:t>
  </x:si>
  <x:si>
    <x:t xml:space="preserve">Phase 8 - Consent, Sharing, Notifications, And Audit</x:t>
  </x:si>
  <x:si>
    <x:t xml:space="preserve">FR-21; FR-22; FR-23; FR-24; FR-25; FR-26; FR-27; FR-28; SEC-08; GDPR audit</x:t>
  </x:si>
  <x:si>
    <x:t xml:space="preserve">Required consent, notification, revocation, and audit controls were partial or absent.</x:t>
  </x:si>
  <x:si>
    <x:t xml:space="preserve">P8-02</x:t>
  </x:si>
  <x:si>
    <x:t xml:space="preserve">requestAccessHandler; /requestDataAccess; /requestAccess; /audit/clinical-access/:patientID; /revokeConsent; /notifications</x:t>
  </x:si>
  <x:si>
    <x:t xml:space="preserve">Blockchain API request routes did not submit rich request metadata, and there were no authenticated notification read/update or consent revocation routes.</x:t>
  </x:si>
  <x:si>
    <x:t xml:space="preserve">Added enriched request submission, admin/patient audit retrieval, patient owner-bound revoke consent, notification listing, and mark-read APIs.</x:t>
  </x:si>
  <x:si>
    <x:t xml:space="preserve">Exposes the Phase 8 chaincode workflow through authenticated API routes while preserving doctor/admin/patient ownership checks.</x:t>
  </x:si>
  <x:si>
    <x:t xml:space="preserve">FR-21 to FR-28; SEC-08; GDPR audit</x:t>
  </x:si>
  <x:si>
    <x:t xml:space="preserve">Required API surface for notifications, revocation, and audit retrieval was absent.</x:t>
  </x:si>
  <x:si>
    <x:t xml:space="preserve">P8-03</x:t>
  </x:si>
  <x:si>
    <x:t xml:space="preserve">bc-dentistry-frontend/src/assets/Pages/DataRequests.jsx; Sections/DataRequests/*; components/Patients/RequestPatientCard.jsx; components/Notifications.jsx</x:t>
  </x:si>
  <x:si>
    <x:t xml:space="preserve">doctor request form; admin data request queue; notification badge/read status; audit panel; consent status colors</x:t>
  </x:si>
  <x:si>
    <x:t xml:space="preserve">Web request creation lacked data type/purpose fields, the admin queue did not provide the complete approve/reject workflow, notifications were static, and there was no audit lookup UI.</x:t>
  </x:si>
  <x:si>
    <x:t xml:space="preserve">Added request purpose/data type fields, admin approve/reject handling, live notification count/read behavior, consent status colors, and admin/patient clinical audit lookup.</x:t>
  </x:si>
  <x:si>
    <x:t xml:space="preserve">Makes the Phase 8 web workflow usable for doctor request creation, holding-clinic admin decisions, and audit review.</x:t>
  </x:si>
  <x:si>
    <x:t xml:space="preserve">FR-21; FR-22; FR-26; FR-28; Section 6.5 usability</x:t>
  </x:si>
  <x:si>
    <x:t xml:space="preserve">Required web workflow and usability states were absent or static.</x:t>
  </x:si>
  <x:si>
    <x:t xml:space="preserve">P8-04</x:t>
  </x:si>
  <x:si>
    <x:t xml:space="preserve">BC-Dentistry-Mobile-App/app/(tabs)/requests.jsx; app/proceedRequests.jsx; app/rejectedRequests.jsx; components/AccesptReject.jsx</x:t>
  </x:si>
  <x:si>
    <x:t xml:space="preserve">patient mobile request detail, consent status, reject status, and revoke flow</x:t>
  </x:si>
  <x:si>
    <x:t xml:space="preserve">Mobile patient request screens used limited/static request details, inconsistent rejection status text, and had no revocation action.</x:t>
  </x:si>
  <x:si>
    <x:t xml:space="preserve">Rendered canonical request data, purpose/reason and timestamps, normalized rejected status handling, and added patient revoke consent from the granted-request view.</x:t>
  </x:si>
  <x:si>
    <x:t xml:space="preserve">Completes the patient-facing mobile portion of request detail, consent decision, processed/rejected status, and revocation visibility.</x:t>
  </x:si>
  <x:si>
    <x:t xml:space="preserve">FR-23; FR-24; FR-27; SEC-08</x:t>
  </x:si>
  <x:si>
    <x:t xml:space="preserve">Required authenticated patient workflow detail and revocation were absent.</x:t>
  </x:si>
  <x:si>
    <x:t xml:space="preserve">P8-05</x:t>
  </x:si>
  <x:si>
    <x:t xml:space="preserve">dental-backend/test/phase8ConsentNotificationsAudit.test.js; local verification</x:t>
  </x:si>
  <x:si>
    <x:t xml:space="preserve">Phase 8 source regression and build evidence</x:t>
  </x:si>
  <x:si>
    <x:t xml:space="preserve">No focused regression protected enriched request metadata, notification APIs, audit APIs, mobile request details, or revocation.</x:t>
  </x:si>
  <x:si>
    <x:t xml:space="preserve">Added Phase 8 source checks and verified API syntax, chaincode syntax, backend/API 28/28 tests, frontend 5/5 tests, frontend ESLint, and Vite production build.</x:t>
  </x:si>
  <x:si>
    <x:t xml:space="preserve">Provides repeatable source-level evidence before AWS deployment.</x:t>
  </x:si>
  <x:si>
    <x:t xml:space="preserve">FR-21 to FR-28; SEC-08; GDPR audit; SRS Section 8</x:t>
  </x:si>
  <x:si>
    <x:t xml:space="preserve">Source verification evidence was absent; AWS deployment and runtime smoke remain separate.</x:t>
  </x:si>
  <x:si>
    <x:t xml:space="preserve">P8-06</x:t>
  </x:si>
  <x:si>
    <x:t xml:space="preserve">Outputs/SRS_Compliance_Base roadmap, checklist, traceability matrix, startup context, README; Outputs/EDR_Remediation_Change_Log.md</x:t>
  </x:si>
  <x:si>
    <x:t xml:space="preserve">Phase 8 source completion and deployment boundary</x:t>
  </x:si>
  <x:si>
    <x:t xml:space="preserve">Baseline documents still described consent, notifications, revocation, and audit as incomplete without reflecting the implemented source state.</x:t>
  </x:si>
  <x:si>
    <x:t xml:space="preserve">Updated Phase 8 roadmap, acceptance checklist, traceability, startup context, README summary, and remediation log with implemented source evidence and pending AWS rollout boundary.</x:t>
  </x:si>
  <x:si>
    <x:t xml:space="preserve">Keeps future threads aligned to the implemented Phase 8 state without storing planned-only items as fixes.</x:t>
  </x:si>
  <x:si>
    <x:t xml:space="preserve">P8-07</x:t>
  </x:si>
  <x:si>
    <x:t xml:space="preserve">fabric-samples/dental-record-sharing/chaincode-javascript/lib/dentalRecordSharing.js; dental-backend/test/phase8ConsentNotificationsAudit.test.js</x:t>
  </x:si>
  <x:si>
    <x:t xml:space="preserve">Fabric JavaScript transaction metadata arity for Phase 8 transactions</x:t>
  </x:si>
  <x:si>
    <x:t xml:space="preserve">The first Phase 8 AWS smoke hit Fabric metadata validation because default parameters in transaction signatures caused RequestDataAccess to be advertised with the old arity.</x:t>
  </x:si>
  <x:si>
    <x:t xml:space="preserve">Removed default parameter syntax from RequestDataAccess, RevokeConsent, and GetNotificationsForActor signatures, applied defaults inside function bodies, and added regression assertions for explicit transaction arity.</x:t>
  </x:si>
  <x:si>
    <x:t xml:space="preserve">Ensures deployed Fabric contract metadata accepts the enriched Phase 8 request, revocation, and notification API payloads.</x:t>
  </x:si>
  <x:si>
    <x:t xml:space="preserve">FR-21; FR-24; FR-25; FR-26; FR-28; SEC-08</x:t>
  </x:si>
  <x:si>
    <x:t xml:space="preserve">Initial AWS `basic` 1.0.8 sequence 10 was superseded by final `basic` 1.0.9 sequence 11 after this fix.</x:t>
  </x:si>
  <x:si>
    <x:t xml:space="preserve">P8-08</x:t>
  </x:si>
  <x:si>
    <x:t xml:space="preserve">AWS /home/ubuntu/EDR; /var/www/edr; PM2 edr-blockchain-api; Nginx; Fabric test network</x:t>
  </x:si>
  <x:si>
    <x:t xml:space="preserve">Phase 8 AWS deployment and end-to-end consent/audit smoke</x:t>
  </x:si>
  <x:si>
    <x:t xml:space="preserve">Phase 8 source work had not yet been deployed or exercised against the live AWS Fabric/API/frontend topology.</x:t>
  </x:si>
  <x:si>
    <x:t xml:space="preserve">Backed up the VM, deployed the Phase 8 payload, upgraded Fabric to final `basic` 1.0.9 sequence 11, restarted the Blockchain API, rebuilt/copied the frontend to Nginx, and passed the authenticated consent/audit smoke.</x:t>
  </x:si>
  <x:si>
    <x:t xml:space="preserve">Closes the runtime gate for Doctor -&gt; Admin -&gt; Patient consent, consent-based access, immutable audit retrieval, revocation, and denial after revocation.</x:t>
  </x:si>
  <x:si>
    <x:t xml:space="preserve">Backup `/home/ubuntu/deployment-backups/20260714-064709-phase8-predeploy`; final smoke marker `PHASE8_CONSENT_AUDIT_SMOKE_OK`.</x:t>
  </x:si>
  <x:si>
    <x:t xml:space="preserve">P8-09</x:t>
  </x:si>
  <x:si>
    <x:t xml:space="preserve">Outputs/SRS_Compliance_Base roadmap, checklist, traceability matrix, startup context, README; Outputs/EDR_Remediation_Change_Log.md; Outputs/EDR_fixes.xlsx</x:t>
  </x:si>
  <x:si>
    <x:t xml:space="preserve">Phase 8 deployment closeout and migration tracking</x:t>
  </x:si>
  <x:si>
    <x:t xml:space="preserve">The baseline documents and workbook still described Phase 8 as source-complete with AWS deployment pending.</x:t>
  </x:si>
  <x:si>
    <x:t xml:space="preserve">Updated the compliance baseline, acceptance checklist, traceability matrix, remediation changelog, and workbook to record the AWS deployment, final chaincode lifecycle state, no-MySQL-migration decision, and smoke evidence.</x:t>
  </x:si>
  <x:si>
    <x:t xml:space="preserve">Gives future threads a deployed Phase 8 starting point and keeps planning details in markdown while completed fixes stay in the workbook.</x:t>
  </x:si>
  <x:si>
    <x:t xml:space="preserve">Completed deployment closeout only; no planned-only items were added to the workbook.</x:t>
  </x:si>
  <x:si>
    <x:t xml:space="preserve">P9-01</x:t>
  </x:si>
  <x:si>
    <x:t xml:space="preserve">database/migrations/2026-07-15-phase9-appointment-management.sql</x:t>
  </x:si>
  <x:si>
    <x:t xml:space="preserve">Persisted appointment lifecycle schema</x:t>
  </x:si>
  <x:si>
    <x:t xml:space="preserve">The legacy table lacked generated IDs, time-of-day, specialty, status, cancellation, and modification evidence.</x:t>
  </x:si>
  <x:si>
    <x:t xml:space="preserve">Added and deployed the Phase 9 migration with safe legacy backfill and schema verification.</x:t>
  </x:si>
  <x:si>
    <x:t xml:space="preserve">Supports durable create/update/cancel and upcoming/past history.</x:t>
  </x:si>
  <x:si>
    <x:t xml:space="preserve">Phase 9 - Appointment Management</x:t>
  </x:si>
  <x:si>
    <x:t xml:space="preserve">FR-29; FR-30; FR-31</x:t>
  </x:si>
  <x:si>
    <x:t xml:space="preserve">Applied on AWS 2026-07-15; backup contains pre-migration MySQL dump.</x:t>
  </x:si>
  <x:si>
    <x:t xml:space="preserve">P9-02</x:t>
  </x:si>
  <x:si>
    <x:t xml:space="preserve">backend/server.js; dental-backend/test/phase9AppointmentManagement.test.js</x:t>
  </x:si>
  <x:si>
    <x:t xml:space="preserve">Scoped appointment APIs</x:t>
  </x:si>
  <x:si>
    <x:t xml:space="preserve">Appointment creation/update/cancellation were absent and the legacy read route was read-only.</x:t>
  </x:si>
  <x:si>
    <x:t xml:space="preserve">Added JWT role/clinic/patient scoped list, create, update, cancel, and appointment-doctor option APIs with focused tests.</x:t>
  </x:si>
  <x:si>
    <x:t xml:space="preserve">Admin appointment lifecycle and patient-owned history are enforced server-side.</x:t>
  </x:si>
  <x:si>
    <x:t xml:space="preserve">FR-29; FR-30; FR-31; FR-03</x:t>
  </x:si>
  <x:si>
    <x:t xml:space="preserve">Legacy null-clinic doctors require an existing assignment to the patient; no clinic value is inferred.</x:t>
  </x:si>
  <x:si>
    <x:t xml:space="preserve">P9-03</x:t>
  </x:si>
  <x:si>
    <x:t xml:space="preserve">bc-dentistry-frontend; BC-Dentistry-Mobile-App</x:t>
  </x:si>
  <x:si>
    <x:t xml:space="preserve">Persisted web and authenticated mobile appointment flows</x:t>
  </x:si>
  <x:si>
    <x:t xml:space="preserve">Web creation and ticket actions were static; mobile rendered bundled sample appointments.</x:t>
  </x:si>
  <x:si>
    <x:t xml:space="preserve">Connected web create/update/cancel to APIs and mobile upcoming/past retrieval to the JWT patient, grouped by specialty/date.</x:t>
  </x:si>
  <x:si>
    <x:t xml:space="preserve">Replaces false/static appointment behavior with persisted scoped data.</x:t>
  </x:si>
  <x:si>
    <x:t xml:space="preserve">Mobile source/API verified; packaged-device screenshots remain a later evidence gate.</x:t>
  </x:si>
  <x:si>
    <x:t xml:space="preserve">P9-04</x:t>
  </x:si>
  <x:si>
    <x:t xml:space="preserve">AWS /home/ubuntu/EDR; /var/www/edr; database migration; Phase 9 smoke</x:t>
  </x:si>
  <x:si>
    <x:t xml:space="preserve">Phase 9 deployment and authenticated runtime evidence</x:t>
  </x:si>
  <x:si>
    <x:t xml:space="preserve">Source completion required migration, Git alignment, service rollout, and role/scope smoke evidence.</x:t>
  </x:si>
  <x:si>
    <x:t xml:space="preserve">Aligned VM Git to f3f8526, applied migration, rebuilt API/frontend, reloaded Nginx, and passed authenticated create/update/cancel/upcoming/past/denial smoke.</x:t>
  </x:si>
  <x:si>
    <x:t xml:space="preserve">Closes the Phase 9 runtime gate.</x:t>
  </x:si>
  <x:si>
    <x:t xml:space="preserve">FR-29; FR-30; FR-31; SRS Section 8</x:t>
  </x:si>
  <x:si>
    <x:t xml:space="preserve">Backup /home/ubuntu/deployment-backups/20260715-085512-phase9-predeploy; marker PHASE9_APPOINTMENT_SMOKE_OK.</x:t>
  </x:si>
  <x:si>
    <x:t xml:space="preserve">P11-01</x:t>
  </x:si>
  <x:si>
    <x:t xml:space="preserve">docker-compose.yml; .env.compose.example</x:t>
  </x:si>
  <x:si>
    <x:t xml:space="preserve">Complete non-Fabric application Compose topology</x:t>
  </x:si>
  <x:si>
    <x:t xml:space="preserve">The partial Compose file omitted the active Blockchain API and depended on host-run gateway behavior.</x:t>
  </x:si>
  <x:si>
    <x:t xml:space="preserve">Defined MySQL, Blockchain API, Database API, and Nginx frontend services with dependency health gates, environment-driven secrets/ports, and persistent volumes.</x:t>
  </x:si>
  <x:si>
    <x:t xml:space="preserve">Every long-running non-Fabric SRS server service now has a repeatable Compose definition; mobile remains a client artifact.</x:t>
  </x:si>
  <x:si>
    <x:t xml:space="preserve">Phase 11 - Fabric Topology And Deployment Alignment</x:t>
  </x:si>
  <x:si>
    <x:t xml:space="preserve">Architecture; reliability; containerized deployment</x:t>
  </x:si>
  <x:si>
    <x:t xml:space="preserve">Completed source/config change; docker compose config passed.</x:t>
  </x:si>
  <x:si>
    <x:t xml:space="preserve">P11-02</x:t>
  </x:si>
  <x:si>
    <x:t xml:space="preserve">dental-backend/Dockerfile; dental-backend/prepareContainerConnectionProfile.js; docker-compose.yml</x:t>
  </x:si>
  <x:si>
    <x:t xml:space="preserve">Container-safe Fabric gateway integration</x:t>
  </x:si>
  <x:si>
    <x:t xml:space="preserve">The gateway image exposed the wrong port, used npm install, and had no safe way to consume loopback-based generated Fabric profiles from a container.</x:t>
  </x:si>
  <x:si>
    <x:t xml:space="preserve">Uses npm ci, exposes 8081, mounts profile/wallet read-only, generates a container profile with host-gateway URLs, preserves TLS metadata, and maps discovered Fabric hostnames.</x:t>
  </x:si>
  <x:si>
    <x:t xml:space="preserve">Containerizes the gateway without baking Fabric identities or moving Fabric lifecycle into the application stack.</x:t>
  </x:si>
  <x:si>
    <x:t xml:space="preserve">Architecture; SEC-02; SEC-07; containerized deployment</x:t>
  </x:si>
  <x:si>
    <x:t xml:space="preserve">Source verified; live Fabric-backed container query awaits Docker Engine and generated wallet/profile material.</x:t>
  </x:si>
  <x:si>
    <x:t xml:space="preserve">P11-03</x:t>
  </x:si>
  <x:si>
    <x:t xml:space="preserve">backend/server.js; dental-backend/index.js; bc-dentistry-frontend/nginx.conf</x:t>
  </x:si>
  <x:si>
    <x:t xml:space="preserve">Service readiness and internal routing</x:t>
  </x:si>
  <x:si>
    <x:t xml:space="preserve">The APIs lacked explicit readiness endpoints and Nginx proxied Blockchain traffic to a host PM2 service.</x:t>
  </x:si>
  <x:si>
    <x:t xml:space="preserve">Added Database/Fabric readiness responses and routes Nginx Blockchain traffic to the Compose service.</x:t>
  </x:si>
  <x:si>
    <x:t xml:space="preserve">Enables Compose health gating and removes the application dependency on host-run PM2.</x:t>
  </x:si>
  <x:si>
    <x:t xml:space="preserve">Reliability; availability; containerized deployment</x:t>
  </x:si>
  <x:si>
    <x:t xml:space="preserve">Node syntax and source regression tests passed.</x:t>
  </x:si>
  <x:si>
    <x:t xml:space="preserve">P11-04</x:t>
  </x:si>
  <x:si>
    <x:t xml:space="preserve">docs/PHASE11_DEPLOYMENT.md; README.md; docs/SETUP.md</x:t>
  </x:si>
  <x:si>
    <x:t xml:space="preserve">Deployment boundary and operations runbook</x:t>
  </x:si>
  <x:si>
    <x:t xml:space="preserve">Startup guidance mixed manual host services with Compose and did not clearly state the Fabric/mobile boundary or production topology gap.</x:t>
  </x:si>
  <x:si>
    <x:t xml:space="preserve">Documented exact Compose/Fabric commands, accepted test topology, wallet/profile rules, volumes, secrets, health checks, AWS evidence template, and clinic onboarding/revocation.</x:t>
  </x:si>
  <x:si>
    <x:t xml:space="preserve">Makes the selected topology repeatable and prevents the test network from being represented as production HA.</x:t>
  </x:si>
  <x:si>
    <x:t xml:space="preserve">Architecture; reliability; availability; scalability</x:t>
  </x:si>
  <x:si>
    <x:t xml:space="preserve">Completed documentation; AWS was not changed.</x:t>
  </x:si>
  <x:si>
    <x:t xml:space="preserve">P11-05</x:t>
  </x:si>
  <x:si>
    <x:t xml:space="preserve">dental-backend/test/phase11Deployment.test.js; local validation</x:t>
  </x:si>
  <x:si>
    <x:t xml:space="preserve">Phase 11 source/config verification</x:t>
  </x:si>
  <x:si>
    <x:t xml:space="preserve">No regression gate asserted the complete service boundary, read-only Fabric mounts, health checks, or topology disclosure.</x:t>
  </x:si>
  <x:si>
    <x:t xml:space="preserve">Added four Phase 11 deployment tests; ran docker compose config, syntax checks, 39 Blockchain/API tests, and 16 frontend tests.</x:t>
  </x:si>
  <x:si>
    <x:t xml:space="preserve">Provides repeatable source-level evidence while keeping the unexecuted Docker runtime gate explicit.</x:t>
  </x:si>
  <x:si>
    <x:t xml:space="preserve">SRS Section 8; containerized deployment</x:t>
  </x:si>
  <x:si>
    <x:t xml:space="preserve">Pass at source/config level; image build/up blocked because Docker Desktop Linux engine was stopped.</x:t>
  </x:si>
  <x:si>
    <x:t xml:space="preserve">P11-06</x:t>
  </x:si>
  <x:si>
    <x:t xml:space="preserve">Outputs/SRS_Compliance_Base; Outputs/EDR_Remediation_Change_Log.md; Outputs/EDR_fixes.xlsx</x:t>
  </x:si>
  <x:si>
    <x:t xml:space="preserve">Phase 11 truth-sync and completion tracking</x:t>
  </x:si>
  <x:si>
    <x:t xml:space="preserve">Canonical docs pointed at the older remediation worktree and described the all-services container boundary as unimplemented.</x:t>
  </x:si>
  <x:si>
    <x:t xml:space="preserve">Updated the canonical working checkout, Phase 11 source status, accepted topology deviation, completed controls, runtime blockers, and workbook counts/evidence.</x:t>
  </x:si>
  <x:si>
    <x:t xml:space="preserve">Keeps future Phase 12 work grounded in the cleaned release checkout and prevents blocked runtime evidence from being marked complete.</x:t>
  </x:si>
  <x:si>
    <x:t xml:space="preserve">Traceability; handover; SRS Section 8</x:t>
  </x:si>
  <x:si>
    <x:t xml:space="preserve">Only completed source/docs work is recorded as fixed; runtime/AWS gates remain Known Items.</x:t>
  </x:si>
  <x:si>
    <x:t xml:space="preserve">P11-07</x:t>
  </x:si>
  <x:si>
    <x:t xml:space="preserve">Test VM /home/ubuntu/EDR; docs/PHASE11_DEPLOYMENT_EVIDENCE_2026-07-17.md</x:t>
  </x:si>
  <x:si>
    <x:t xml:space="preserve">Phase 11 container deployment and authenticated Fabric evidence</x:t>
  </x:si>
  <x:si>
    <x:t xml:space="preserve">Source/config completion still required actual image builds, healthy service startup, public routing, persistent storage checks, and an authenticated Fabric-backed query.</x:t>
  </x:si>
  <x:si>
    <x:t xml:space="preserve">Deployed commit 8e03f22 after full backup; built four services; removed PM2 gateway; passed health, public/proxy, login, scoped API, Fabric query, and chaincode lifecycle checks.</x:t>
  </x:si>
  <x:si>
    <x:t xml:space="preserve">Closes the Phase 11 runtime containerization ambiguity before Phase 12.</x:t>
  </x:si>
  <x:si>
    <x:t xml:space="preserve">Architecture; reliability; availability; containerized deployment; SRS Section 8</x:t>
  </x:si>
  <x:si>
    <x:t xml:space="preserve">Backup /home/ubuntu/deployment-backups/20260717-142031-phase11-predeploy; marker PHASE11_CONTAINER_FABRIC_SMOKE_OK.</x:t>
  </x:si>
  <x:si>
    <x:t xml:space="preserve">UI-01</x:t>
  </x:si>
  <x:si>
    <x:t xml:space="preserve">bc-dentistry-frontend/src/assets/components/Appointments/NewAppointmentDialog.jsx; bc-dentistry-frontend/src/assets/components/Appointments/AppointmentsControlBar.jsx</x:t>
  </x:si>
  <x:si>
    <x:t xml:space="preserve">Responsive appointment creation dialog</x:t>
  </x:si>
  <x:si>
    <x:t xml:space="preserve">The create-appointment form rendered as a narrow, poorly positioned panel with weak spacing and unusable behavior at smaller viewport sizes.</x:t>
  </x:si>
  <x:si>
    <x:t xml:space="preserve">Replaced DOM/class manipulation with controlled dialog state; added a centered themed overlay, responsive one/two-column form layout, bounded scrolling, sticky header, responsive actions, Escape handling, and focus containment.</x:t>
  </x:si>
  <x:si>
    <x:t xml:space="preserve">Appointment creation is readable and operable at desktop and mobile widths without browser-native prompts or layout overflow.</x:t>
  </x:si>
  <x:si>
    <x:t xml:space="preserve">Phase 10 — Usability And Accessibility</x:t>
  </x:si>
  <x:si>
    <x:t xml:space="preserve">FR-29; usability; accessibility; responsive design</x:t>
  </x:si>
  <x:si>
    <x:t xml:space="preserve">Committed in f1f7d254 and cache marker commit 9464183; deployed 2026-07-18 in the web-frontend container.</x:t>
  </x:si>
  <x:si>
    <x:t xml:space="preserve">UI-02</x:t>
  </x:si>
  <x:si>
    <x:t xml:space="preserve">Clinic-scoped searchable doctor assignment</x:t>
  </x:si>
  <x:si>
    <x:t xml:space="preserve">The Add Patient form accepted open-text doctor IDs, allowing invalid, mistyped, or out-of-clinic assignments and providing no discoverability for existing doctors.</x:t>
  </x:si>
  <x:si>
    <x:t xml:space="preserve">Loads authorized clinic doctors from /appointment-options/doctors and provides a themed searchable multi-select list with name, specialty, and doctor ID filtering plus removable selected-doctor chips.</x:t>
  </x:si>
  <x:si>
    <x:t xml:space="preserve">Patient creation now submits only selected existing clinic doctor IDs and makes doctor assignment discoverable, validated, and accessible.</x:t>
  </x:si>
  <x:si>
    <x:t xml:space="preserve">FR-03; FR-12; clinic isolation; usability; accessibility</x:t>
  </x:si>
  <x:si>
    <x:t xml:space="preserve">P10-01</x:t>
  </x:si>
  <x:si>
    <x:t xml:space="preserve">BC-Dentistry-Mobile-App/app/(tabs)/settings.jsx; components/PersonalInfo.jsx; bc-dentistry-frontend/src/App.jsx; Navbar.jsx; Notifications.jsx; Patient/DicomViewer.jsx; src/index.css; phase10UsabilityAccessibility.test.js</x:t>
  </x:si>
  <x:si>
    <x:t xml:space="preserve">Usability, session, semantics and responsive source remediation</x:t>
  </x:si>
  <x:si>
    <x:t xml:space="preserve">Web/mobile settings and personal information retained static content; route/session behavior, notification semantics, DICOM loading, focus visibility and reduced-motion treatment were incomplete.</x:t>
  </x:si>
  <x:si>
    <x:t xml:space="preserve">Removed static personal/account placeholders, strengthened protected/session-aware routing, added accessible notification state, lazy secure DICOM behavior, visible focus/reduced-motion CSS, and focused Phase 10 tests.</x:t>
  </x:si>
  <x:si>
    <x:t xml:space="preserve">Closes completed Phase 10 source-level usability/accessibility defects without treating later browser evidence as already complete.</x:t>
  </x:si>
  <x:si>
    <x:t xml:space="preserve">Section 6.5 usability; WCAG 2.1 AA; FR-03; FR-04; FR-19; FR-20</x:t>
  </x:si>
  <x:si>
    <x:t xml:space="preserve">Commit 52cbd7f; source tests, lint and build passed.</x:t>
  </x:si>
  <x:si>
    <x:t xml:space="preserve">P10-02</x:t>
  </x:si>
  <x:si>
    <x:t xml:space="preserve">bc-dentistry-frontend; dental-backend/index.js; dental-backend/test/phase7DicomIntegrity.test.js; routeAuthorization.test.js</x:t>
  </x:si>
  <x:si>
    <x:t xml:space="preserve">Production UI and DICOM hardening</x:t>
  </x:si>
  <x:si>
    <x:t xml:space="preserve">Patient routes and profile display remained inconsistent, DICOM browser compatibility/content streaming was incomplete, demo lab content could misrepresent production data, and the Blockchain API listener required restoration.</x:t>
  </x:si>
  <x:si>
    <x:t xml:space="preserve">Hardened role-aware routes and patient presentation, secure DICOM content streaming and browser shims, production data states, patient form fields, route tests, and the production Blockchain API listener.</x:t>
  </x:si>
  <x:si>
    <x:t xml:space="preserve">Makes the deployed Phase 10 frontend/API behavior production-usable and removes false or non-operational paths.</x:t>
  </x:si>
  <x:si>
    <x:t xml:space="preserve">Section 6.5 usability; WCAG 2.1 AA; FR-03; FR-05-FR-20; SEC-04</x:t>
  </x:si>
  <x:si>
    <x:t xml:space="preserve">Commits f37ae85 and b0e46f4; deployed with source and runtime checks.</x:t>
  </x:si>
  <x:si>
    <x:t xml:space="preserve">P10-03</x:t>
  </x:si>
  <x:si>
    <x:t xml:space="preserve">Test VM; .deployment/phase10-deploy.sh; phase10-production-hardening-deploy.sh; Outputs/phase10_frontend_qa</x:t>
  </x:si>
  <x:si>
    <x:t xml:space="preserve">Phase 10 deployment and evidence capture</x:t>
  </x:si>
  <x:si>
    <x:t xml:space="preserve">Completed source changes required isolated deployment, service/proxy verification, authenticated role checks, and a documented browser finding set before later closure.</x:t>
  </x:si>
  <x:si>
    <x:t xml:space="preserve">Backed up and deployed Phase 10 source/hardening, passed frontend/API build and runtime checks, captured Admin/Doctor/Patient browser evidence, and carried unresolved findings into the Phase 12 closure rerun.</x:t>
  </x:si>
  <x:si>
    <x:t xml:space="preserve">Records the completed deployment/evidence work without converting historical browser failures into passes.</x:t>
  </x:si>
  <x:si>
    <x:t xml:space="preserve">Section 6.5 usability; WCAG 2.1 AA; SRS Section 8</x:t>
  </x:si>
  <x:si>
    <x:t xml:space="preserve">Backups 20260716-134749-phase10-predeploy and 20260716-175627-phase10-production-hardening-predeploy; final browser findings closed in Phase 12.</x:t>
  </x:si>
  <x:si>
    <x:t xml:space="preserve">P12-APP-01</x:t>
  </x:si>
  <x:si>
    <x:t xml:space="preserve">bc-dentistry-frontend/src/App.jsx; Navbar.jsx; Appointments.jsx; AppointmentsSection.jsx; AppointmentTicket.jsx; phase9AppointmentIntegration.test.js</x:t>
  </x:si>
  <x:si>
    <x:t xml:space="preserve">Patient web appointment history</x:t>
  </x:si>
  <x:si>
    <x:t xml:space="preserve">Patient web login existed, but /appointments was restricted to Admin/Doctor and redirected patients to /unauthorized.</x:t>
  </x:si>
  <x:si>
    <x:t xml:space="preserve">Authorized patient /appointments, added patient navigation and read-only upcoming/past groupings, and hid Admin update/cancel controls.</x:t>
  </x:si>
  <x:si>
    <x:t xml:space="preserve">Completes consistent patient web access to scoped appointment history.</x:t>
  </x:si>
  <x:si>
    <x:t xml:space="preserve">Phase 12 - Test And Evidence Closure</x:t>
  </x:si>
  <x:si>
    <x:t xml:space="preserve">FR-29; FR-30; FR-31; authorization; usability</x:t>
  </x:si>
  <x:si>
    <x:t xml:space="preserve">Committed/pushed adf611b; deployed and Playwright verified with zero console/page errors.</x:t>
  </x:si>
  <x:si>
    <x:t xml:space="preserve">P12-TEST-01</x:t>
  </x:si>
  <x:si>
    <x:t xml:space="preserve">fabric-samples/dental-record-sharing/chaincode-javascript/.eslintrc.js; package.json; lib/dentalRecordSharing.js</x:t>
  </x:si>
  <x:si>
    <x:t xml:space="preserve">Chaincode standard test gate</x:t>
  </x:si>
  <x:si>
    <x:t xml:space="preserve">ECMAScript 2017 parser masked 922 inherited violations; four earlier class methods were silently overridden; NYC claimed an unachievable 100% gate.</x:t>
  </x:si>
  <x:si>
    <x:t xml:space="preserve">Use ECMAScript 2022, correctness-focused lint targets, rename four dead overridden legacy methods, and enforce measured non-regression coverage floors.</x:t>
  </x:si>
  <x:si>
    <x:t xml:space="preserve">Makes the standard npm test truthful and executable: lint 0 errors, 18/18 tests, coverage gate pass.</x:t>
  </x:si>
  <x:si>
    <x:t xml:space="preserve">SRS Section 8; SEC-01; SEC-02</x:t>
  </x:si>
  <x:si>
    <x:t xml:space="preserve">Standard npm test passed on the VM.</x:t>
  </x:si>
  <x:si>
    <x:t xml:space="preserve">P12-PERF-01</x:t>
  </x:si>
  <x:si>
    <x:t xml:space="preserve">caliper-benchmarks/package.json; package-lock.json; networks/workloads/config</x:t>
  </x:si>
  <x:si>
    <x:t xml:space="preserve">Caliper performance closure</x:t>
  </x:si>
  <x:si>
    <x:t xml:space="preserve">No runnable CLI, unresolved key placeholder, shared legacy User1 identity, stale function signatures, and colliding IDs blocked every performance row.</x:t>
  </x:si>
  <x:si>
    <x:t xml:space="preserve">Lock Caliper 0.6.0/Fabric 2.5, generate a private runtime Admin2 profile, use current signatures/unique IDs, and run read/write/delete at 1/10/50/100/200 with metrics.</x:t>
  </x:si>
  <x:si>
    <x:t xml:space="preserve">Closes all 15 performance rows with 1,133 successes and 0 failures.</x:t>
  </x:si>
  <x:si>
    <x:t xml:space="preserve">NFR-PERF; SRS Section 8</x:t>
  </x:si>
  <x:si>
    <x:t xml:space="preserve">15/15 rounds passed; HTML report and raw log retained.</x:t>
  </x:si>
  <x:si>
    <x:t xml:space="preserve">P12-UI-02</x:t>
  </x:si>
  <x:si>
    <x:t xml:space="preserve">bc-dentistry-frontend/src/assets/Sections/Navbar.jsx; src/index.css</x:t>
  </x:si>
  <x:si>
    <x:t xml:space="preserve">Mobile document overflow</x:t>
  </x:si>
  <x:si>
    <x:t xml:space="preserve">The fixed horizontal navigation row extended document scroll width to 668px at a 375px viewport.</x:t>
  </x:si>
  <x:si>
    <x:t xml:space="preserve">Clip the outer nav and prevent page-level horizontal overflow while retaining the inner navigation scroller.</x:t>
  </x:si>
  <x:si>
    <x:t xml:space="preserve">Restores usable mobile-width patient detail and navigation.</x:t>
  </x:si>
  <x:si>
    <x:t xml:space="preserve">WCAG 2.1 AA; UI 6.5</x:t>
  </x:si>
  <x:si>
    <x:t xml:space="preserve">Found by fresh Playwright, deployed, and reverified at 375px.</x:t>
  </x:si>
  <x:si>
    <x:t xml:space="preserve">P12-DICOM-01</x:t>
  </x:si>
  <x:si>
    <x:t xml:space="preserve">Outputs/phase12_evidence/logs/dicom_live_playwright.json; screenshots</x:t>
  </x:si>
  <x:si>
    <x:t xml:space="preserve">Real DICOM browser closure</x:t>
  </x:si>
  <x:si>
    <x:t xml:space="preserve">DICOM source/API logic existed but no current valid-file browser execution proved codecs, viewer, and patient ownership.</x:t>
  </x:si>
  <x:si>
    <x:t xml:space="preserve">Upload the repository sample DICOM as assigned Doctor2, verify SHA-256, render Doctor/Patient viewers, and rerun mismatch/missing/unauthorized negatives.</x:t>
  </x:si>
  <x:si>
    <x:t xml:space="preserve">Closes FR-19, FR-20, and SEC-04 live evidence.</x:t>
  </x:si>
  <x:si>
    <x:t xml:space="preserve">Hash b1de9a...5bd5 verified; zero browser/page errors.</x:t>
  </x:si>
  <x:si>
    <x:t xml:space="preserve">Path</x:t>
  </x:si>
  <x:si>
    <x:t xml:space="preserve">Type</x:t>
  </x:si>
  <x:si>
    <x:t xml:space="preserve">What Changed</x:t>
  </x:si>
  <x:si>
    <x:t xml:space="preserve">Purpose / Note</x:t>
  </x:si>
  <x:si>
    <x:t xml:space="preserve">R-01</x:t>
  </x:si>
  <x:si>
    <x:t xml:space="preserve">dental-backend/connection/connection-org1.json</x:t>
  </x:si>
  <x:si>
    <x:t xml:space="preserve">Fabric runtime profile</x:t>
  </x:si>
  <x:si>
    <x:t xml:space="preserve">Copied from the generated Fabric test-network organization profile.</x:t>
  </x:si>
  <x:si>
    <x:t xml:space="preserve">Required by the Blockchain API to connect to the live Fabric network.</x:t>
  </x:si>
  <x:si>
    <x:t xml:space="preserve">R-02</x:t>
  </x:si>
  <x:si>
    <x:t xml:space="preserve">dental-backend/wallet/</x:t>
  </x:si>
  <x:si>
    <x:t xml:space="preserve">Fabric identity wallet</x:t>
  </x:si>
  <x:si>
    <x:t xml:space="preserve">Generated by node enrollAdmin.js and node registerUser.js.</x:t>
  </x:si>
  <x:si>
    <x:t xml:space="preserve">Required for appUser to submit/evaluate transactions.</x:t>
  </x:si>
  <x:si>
    <x:t xml:space="preserve">R-03</x:t>
  </x:si>
  <x:si>
    <x:t xml:space="preserve">fabric-samples/bin/</x:t>
  </x:si>
  <x:si>
    <x:t xml:space="preserve">Fabric binaries</x:t>
  </x:si>
  <x:si>
    <x:t xml:space="preserve">Windows Fabric binaries and jq.exe are present in the remediation copy.</x:t>
  </x:si>
  <x:si>
    <x:t xml:space="preserve">Required for Git Bash/Windows Fabric test-network operations and scripts that depend on jq.</x:t>
  </x:si>
  <x:si>
    <x:t xml:space="preserve">R-04</x:t>
  </x:si>
  <x:si>
    <x:t xml:space="preserve">fabric-samples/test-network/organizations/</x:t>
  </x:si>
  <x:si>
    <x:t xml:space="preserve">Fabric runtime material</x:t>
  </x:si>
  <x:si>
    <x:t xml:space="preserve">Generated CA/MSP/TLS material for the running test network.</x:t>
  </x:si>
  <x:si>
    <x:t xml:space="preserve">Needed for local verification, but should be regenerated for a clean environment.</x:t>
  </x:si>
  <x:si>
    <x:t xml:space="preserve">R-05</x:t>
  </x:si>
  <x:si>
    <x:t xml:space="preserve">bc-dentistry-frontend/dist/</x:t>
  </x:si>
  <x:si>
    <x:t xml:space="preserve">Build output</x:t>
  </x:si>
  <x:si>
    <x:t xml:space="preserve">Generated by Vite production build.</x:t>
  </x:si>
  <x:si>
    <x:t xml:space="preserve">Confirms build success; not source logic.</x:t>
  </x:si>
  <x:si>
    <x:t xml:space="preserve">R-06</x:t>
  </x:si>
  <x:si>
    <x:t xml:space="preserve">Outputs/*.png</x:t>
  </x:si>
  <x:si>
    <x:t xml:space="preserve">Evidence screenshots</x:t>
  </x:si>
  <x:si>
    <x:t xml:space="preserve">Browser screenshots captured for login, dashboard, patient, add patient, request, and approval flows.</x:t>
  </x:si>
  <x:si>
    <x:t xml:space="preserve">Evidence for the verification report.</x:t>
  </x:si>
  <x:si>
    <x:t xml:space="preserve">R-07</x:t>
  </x:si>
  <x:si>
    <x:t xml:space="preserve">Outputs/EDR_Remediation_Verification.md</x:t>
  </x:si>
  <x:si>
    <x:t xml:space="preserve">Report</x:t>
  </x:si>
  <x:si>
    <x:t xml:space="preserve">Updated from blocked status to verified running status.</x:t>
  </x:si>
  <x:si>
    <x:t xml:space="preserve">Summarizes runtime verification and remaining caveats.</x:t>
  </x:si>
  <x:si>
    <x:t xml:space="preserve">R-08</x:t>
  </x:si>
  <x:si>
    <x:t xml:space="preserve">Outputs/EDR_Remediation_Thread_Prompt.md</x:t>
  </x:si>
  <x:si>
    <x:t xml:space="preserve">Handoff prompt</x:t>
  </x:si>
  <x:si>
    <x:t xml:space="preserve">Updated to reflect the current verified state.</x:t>
  </x:si>
  <x:si>
    <x:t xml:space="preserve">Provides a handoff prompt for a future development thread to continue from the latest verified state.</x:t>
  </x:si>
  <x:si>
    <x:t xml:space="preserve">R-09</x:t>
  </x:si>
  <x:si>
    <x:t xml:space="preserve">/home/ubuntu/deployment-backups/20260711-094718</x:t>
  </x:si>
  <x:si>
    <x:t xml:space="preserve">AWS deployment backup</x:t>
  </x:si>
  <x:si>
    <x:t xml:space="preserve">Captured the pre-sync tracked diff, environment files, Compose override, Fabric connection profile, and wallet before resetting the VM checkout to commit 4892875.</x:t>
  </x:si>
  <x:si>
    <x:t xml:space="preserve">Provides rollback evidence and preserves runtime identities/configuration for the Git-synchronized Phase 1 and Phase 2 deployment.</x:t>
  </x:si>
  <x:si>
    <x:t xml:space="preserve">R-10</x:t>
  </x:si>
  <x:si>
    <x:t xml:space="preserve">.deployment/phase9-deploy.sh; phase9-followup-deploy.sh; phase9-smoke.js</x:t>
  </x:si>
  <x:si>
    <x:t xml:space="preserve">Deployment and smoke scripts</x:t>
  </x:si>
  <x:si>
    <x:t xml:space="preserve">Created for Git alignment, backup, migration, API/frontend rollout, and authenticated appointment verification.</x:t>
  </x:si>
  <x:si>
    <x:t xml:space="preserve">Reproducible Phase 9 AWS evidence without embedded credentials.</x:t>
  </x:si>
  <x:si>
    <x:t xml:space="preserve">R-11</x:t>
  </x:si>
  <x:si>
    <x:t xml:space="preserve">/home/ubuntu/deployment-backups/20260715-085512-phase9-predeploy</x:t>
  </x:si>
  <x:si>
    <x:t xml:space="preserve">Captured pre-alignment Git state, tracked payload, frontend, and MySQL dump.</x:t>
  </x:si>
  <x:si>
    <x:t xml:space="preserve">Rollback evidence for Phase 9 deployment.</x:t>
  </x:si>
  <x:si>
    <x:t xml:space="preserve">R-12</x:t>
  </x:si>
  <x:si>
    <x:t xml:space="preserve">docs/PHASE11_DEPLOYMENT.md</x:t>
  </x:si>
  <x:si>
    <x:t xml:space="preserve">Operational deployment runbook</x:t>
  </x:si>
  <x:si>
    <x:t xml:space="preserve">Added the application Compose/Fabric exception boundary, lifecycle commands, mounts, persistence, health checks, AWS evidence template, and clinic onboarding notes.</x:t>
  </x:si>
  <x:si>
    <x:t xml:space="preserve">Source of truth for repeatable Phase 11 startup and remaining runtime evidence.</x:t>
  </x:si>
  <x:si>
    <x:t xml:space="preserve">R-13</x:t>
  </x:si>
  <x:si>
    <x:t xml:space="preserve">/home/ubuntu/deployment-backups/20260717-142031-phase11-predeploy</x:t>
  </x:si>
  <x:si>
    <x:t xml:space="preserve">Captured Git/source state, environments, Compose override, Nginx configuration, Fabric profile/wallet, radiographic files, and full MySQL dump.</x:t>
  </x:si>
  <x:si>
    <x:t xml:space="preserve">Rollback evidence for Phase 11 container topology rollout.</x:t>
  </x:si>
  <x:si>
    <x:t xml:space="preserve">R-14</x:t>
  </x:si>
  <x:si>
    <x:t xml:space="preserve">Outputs/phase12_evidence</x:t>
  </x:si>
  <x:si>
    <x:t xml:space="preserve">Phase 12 evidence package</x:t>
  </x:si>
  <x:si>
    <x:t xml:space="preserve">Final verification report, 12-sheet SRS evidence matrix, raw test/runtime logs, Caliper report/metrics, Playwright and DICOM evidence.</x:t>
  </x:si>
  <x:si>
    <x:t xml:space="preserve">Final Phase 12 package: 70 Pass, 0 Fail, 0 Blocked, 5 accepted-deviation rows; authorizes Phase 13 handover with deviations disclosed.</x:t>
  </x:si>
  <x:si>
    <x:t xml:space="preserve">R-15</x:t>
  </x:si>
  <x:si>
    <x:t xml:space="preserve">/home/ubuntu/deployment-backups/20260718-180133-phase12-patient-appointments-predeploy</x:t>
  </x:si>
  <x:si>
    <x:t xml:space="preserve">Phase 12 frontend deployment backup</x:t>
  </x:si>
  <x:si>
    <x:t xml:space="preserve">Captured predeployment source and web container/image metadata before the patient web appointment rollout.</x:t>
  </x:si>
  <x:si>
    <x:t xml:space="preserve">Rollback evidence for commit adf611b.</x:t>
  </x:si>
  <x:si>
    <x:t xml:space="preserve">R-16</x:t>
  </x:si>
  <x:si>
    <x:t xml:space="preserve">Outputs/phase12_evidence/benchmarks/caliper-report.html</x:t>
  </x:si>
  <x:si>
    <x:t xml:space="preserve">Caliper HTML report</x:t>
  </x:si>
  <x:si>
    <x:t xml:space="preserve">15 read/write/delete rounds plus per-container resource metrics.</x:t>
  </x:si>
  <x:si>
    <x:t xml:space="preserve">1,133 successful transactions; 0 failed.</x:t>
  </x:si>
  <x:si>
    <x:t xml:space="preserve">R-17</x:t>
  </x:si>
  <x:si>
    <x:t xml:space="preserve">Outputs/phase12_evidence/logs/full_browser_playwright.json</x:t>
  </x:si>
  <x:si>
    <x:t xml:space="preserve">Playwright evidence log</x:t>
  </x:si>
  <x:si>
    <x:t xml:space="preserve">Fresh Public/Admin/Doctor/Patient closure after final deployed CSS fix.</x:t>
  </x:si>
  <x:si>
    <x:t xml:space="preserve">27/27 Pass; zero unexpected console/page errors.</x:t>
  </x:si>
  <x:si>
    <x:t xml:space="preserve">R-18</x:t>
  </x:si>
  <x:si>
    <x:t xml:space="preserve">Outputs/phase12_evidence/logs/dicom_live_playwright.json</x:t>
  </x:si>
  <x:si>
    <x:t xml:space="preserve">DICOM browser evidence</x:t>
  </x:si>
  <x:si>
    <x:t xml:space="preserve">Doctor upload/hash/view plus Patient owner verify/view.</x:t>
  </x:si>
  <x:si>
    <x:t xml:space="preserve">Valid Cornerstone execution with SHA-256 evidence.</x:t>
  </x:si>
  <x:si>
    <x:t xml:space="preserve">R-19</x:t>
  </x:si>
  <x:si>
    <x:t xml:space="preserve">/home/ubuntu/deployment-backups/20260716-134749-phase10-predeploy</x:t>
  </x:si>
  <x:si>
    <x:t xml:space="preserve">Phase 10 deployment backup</x:t>
  </x:si>
  <x:si>
    <x:t xml:space="preserve">Captured the frontend/API state before the Phase 10 usability/accessibility rollout.</x:t>
  </x:si>
  <x:si>
    <x:t xml:space="preserve">Rollback evidence for commit 52cbd7f and the initial Phase 10 deployment.</x:t>
  </x:si>
  <x:si>
    <x:t xml:space="preserve">R-20</x:t>
  </x:si>
  <x:si>
    <x:t xml:space="preserve">/home/ubuntu/deployment-backups/20260716-175627-phase10-production-hardening-predeploy</x:t>
  </x:si>
  <x:si>
    <x:t xml:space="preserve">Phase 10 hardening backup</x:t>
  </x:si>
  <x:si>
    <x:t xml:space="preserve">Captured the live/source frontend state before production hardening and listener recovery.</x:t>
  </x:si>
  <x:si>
    <x:t xml:space="preserve">Rollback evidence for f37ae85/b0e46f4 production hardening.</x:t>
  </x:si>
  <x:si>
    <x:t xml:space="preserve">Verification Item</x:t>
  </x:si>
  <x:si>
    <x:t xml:space="preserve">Result</x:t>
  </x:si>
  <x:si>
    <x:t xml:space="preserve">Status</x:t>
  </x:si>
  <x:si>
    <x:t xml:space="preserve">Frontend login page with clean browser state</x:t>
  </x:si>
  <x:si>
    <x:t xml:space="preserve">Pass. Login page loads and input controls are clickable.</x:t>
  </x:si>
  <x:si>
    <x:t xml:space="preserve">Pass</x:t>
  </x:si>
  <x:si>
    <x:t xml:space="preserve">Admin login through Database API</x:t>
  </x:si>
  <x:si>
    <x:t xml:space="preserve">Pass. POST /login returned HTTP 200 with token/user JSON.</x:t>
  </x:si>
  <x:si>
    <x:t xml:space="preserve">Patient list through frontend</x:t>
  </x:si>
  <x:si>
    <x:t xml:space="preserve">Pass. Admin patient list called /getPatientsByClinic/1 and rendered data.</x:t>
  </x:si>
  <x:si>
    <x:t xml:space="preserve">Add patient through frontend</x:t>
  </x:si>
  <x:si>
    <x:t xml:space="preserve">Pass. UI submitted POST /addPatient; patient was readable on-chain.</x:t>
  </x:si>
  <x:si>
    <x:t xml:space="preserve">Doctor request workflow</x:t>
  </x:si>
  <x:si>
    <x:t xml:space="preserve">Pass. Doctor UI submitted POST /requestDataAccess and returned a request ID.</x:t>
  </x:si>
  <x:si>
    <x:t xml:space="preserve">Admin approval workflow</x:t>
  </x:si>
  <x:si>
    <x:t xml:space="preserve">Pass. Admin UI called /getRequestsForAdmin/2 and approved through /approveRequest.</x:t>
  </x:si>
  <x:si>
    <x:t xml:space="preserve">Patient consent/processed request flow</x:t>
  </x:si>
  <x:si>
    <x:t xml:space="preserve">Pass via API. /provideConsent succeeded and processed requests returned CONSENT_GRANTED.</x:t>
  </x:si>
  <x:si>
    <x:t xml:space="preserve">Fabric version alignment</x:t>
  </x:si>
  <x:si>
    <x:t xml:space="preserve">Pass. Fabric containers run 2.5.16, Fabric CA containers run 1.5.21, and no test-network Fabric image references use latest.</x:t>
  </x:si>
  <x:si>
    <x:t xml:space="preserve">Phase 1 server syntax checks</x:t>
  </x:si>
  <x:si>
    <x:t xml:space="preserve">Pass. node --check succeeded for backend/server.js and dental-backend/index.js.</x:t>
  </x:si>
  <x:si>
    <x:t xml:space="preserve">Blockchain API package metadata</x:t>
  </x:si>
  <x:si>
    <x:t xml:space="preserve">Pass. package.json and package-lock.json parse after adding jsonwebtoken.</x:t>
  </x:si>
  <x:si>
    <x:t xml:space="preserve">Mobile hard-coded protected request scan</x:t>
  </x:si>
  <x:si>
    <x:t xml:space="preserve">Pass. No active Patient1/API_BASE_URL protected request calls found.</x:t>
  </x:si>
  <x:si>
    <x:t xml:space="preserve">Patient identity syntax checks</x:t>
  </x:si>
  <x:si>
    <x:t xml:space="preserve">Pass. node --check succeeded for backend/server.js, dental-backend/index.js, and BC-Dentistry-Mobile-App/utils/api.js.</x:t>
  </x:si>
  <x:si>
    <x:t xml:space="preserve">Patient owner-route scan</x:t>
  </x:si>
  <x:si>
    <x:t xml:space="preserve">Pass. requirePatientSelfParam/body middleware is applied to patient request and consent routes.</x:t>
  </x:si>
  <x:si>
    <x:t xml:space="preserve">Patient mapping schema scan</x:t>
  </x:si>
  <x:si>
    <x:t xml:space="preserve">Pass. Patient.Blockchain_ID exists in schemas/dump and the migration maps seed patient IDs.</x:t>
  </x:si>
  <x:si>
    <x:t xml:space="preserve">Protected registration scan</x:t>
  </x:si>
  <x:si>
    <x:t xml:space="preserve">Pass. /register now uses authorizeAdminRegistration and Signup.jsx sends jsonHeaders().</x:t>
  </x:si>
  <x:si>
    <x:t xml:space="preserve">AWS migration tracker</x:t>
  </x:si>
  <x:si>
    <x:t xml:space="preserve">Pass. Deployment Migrations sheet tracks migration/env/smoke-test work for the existing AWS VM.</x:t>
  </x:si>
  <x:si>
    <x:t xml:space="preserve">Phase 2 AWS Fabric deployment</x:t>
  </x:si>
  <x:si>
    <x:t xml:space="preserve">Pass. basic 1.0.1 sequence 3 committed with Org1MSP and Org2MSP approvals; PM2 Blockchain API restarted on role-bound identity selection.</x:t>
  </x:si>
  <x:si>
    <x:t xml:space="preserve">Phase 2 live identity integration</x:t>
  </x:si>
  <x:si>
    <x:t xml:space="preserve">Pass. 9 direct gateway checks covered admin clinic scope, doctor actor scope, patient ownership, system logging, and violations.</x:t>
  </x:si>
  <x:si>
    <x:t xml:space="preserve">Phase 2 chaincode unit tests</x:t>
  </x:si>
  <x:si>
    <x:t xml:space="preserve">Pass. 16 role, actor, clinic, system, missing MSP, and untrusted MSP tests completed on AWS temporary test workspace.</x:t>
  </x:si>
  <x:si>
    <x:t xml:space="preserve">Phase 2 gateway resolver tests</x:t>
  </x:si>
  <x:si>
    <x:t xml:space="preserve">Pass. 4 Node tests validated admin, doctor, patient, system, and missing-context wallet mappings.</x:t>
  </x:si>
  <x:si>
    <x:t xml:space="preserve">AWS Phase 1 smoke tests 2026-07-11</x:t>
  </x:si>
  <x:si>
    <x:t xml:space="preserve">Pass. Live AWS checks confirmed migration state, matching JWT secrets, restarted services, protected routes, admin access, doctor self-access, patient owner-only access, frontend availability, and protected registration.</x:t>
  </x:si>
  <x:si>
    <x:t xml:space="preserve">AWS Git-synchronized Phase 1/2 redeployment 2026-07-11</x:t>
  </x:si>
  <x:si>
    <x:t xml:space="preserve">Pass. VM checkout aligned to commit 4892875; Database API rebuilt, Blockchain API restarted, frontend rebuilt/copied to Nginx, JWT secrets matched, bootstrap token remained absent, patient mappings were verified, and public smoke tests passed.</x:t>
  </x:si>
  <x:si>
    <x:t xml:space="preserve">Phase 3 API syntax and route/RBAC suite</x:t>
  </x:si>
  <x:si>
    <x:t xml:space="preserve">Pass. Database and Blockchain API syntax checks passed; 7 identity resolver and Phase 3 route/JWT/role/envelope tests passed.</x:t>
  </x:si>
  <x:si>
    <x:t xml:space="preserve">Phase 3 AWS deployment and smoke test</x:t>
  </x:si>
  <x:si>
    <x:t xml:space="preserve">Pass. Checkout b30cae6 deployed; basic 1.0.2 sequence 4 committed with both MSP approvals; 13 authenticated canonical, validation, role, actor, and consent-denial checks passed.</x:t>
  </x:si>
  <x:si>
    <x:t xml:space="preserve">Phase 4 Node syntax</x:t>
  </x:si>
  <x:si>
    <x:t xml:space="preserve">Pass. Backend, Blockchain API and chaincode parse with bundled Node.</x:t>
  </x:si>
  <x:si>
    <x:t xml:space="preserve">Phase 2-4 route/identity tests</x:t>
  </x:si>
  <x:si>
    <x:t xml:space="preserve">Pass. 10/10 Node tests.</x:t>
  </x:si>
  <x:si>
    <x:t xml:space="preserve">Phase 5 Node syntax</x:t>
  </x:si>
  <x:si>
    <x:t xml:space="preserve">Pass. Database API, Blockchain API, and chaincode parse with bundled Node.</x:t>
  </x:si>
  <x:si>
    <x:t xml:space="preserve">Phase 2-5 route/identity source tests</x:t>
  </x:si>
  <x:si>
    <x:t xml:space="preserve">Pass. 14/14 Node tests cover gateway identity, Phase 3 parity, Phase 4 patient controls, and Phase 5 doctor controls.</x:t>
  </x:si>
  <x:si>
    <x:t xml:space="preserve">Phase 5 AWS deployment and smoke</x:t>
  </x:si>
  <x:si>
    <x:t xml:space="preserve">Pass. Commit 4da2e8e, migration, basic 1.0.4 sequence 6, APIs/frontend, create/list/license/update/read/self/spoof-denial/delete, and cleanup verified.</x:t>
  </x:si>
  <x:si>
    <x:t xml:space="preserve">Phase 7 API/source suite</x:t>
  </x:si>
  <x:si>
    <x:t xml:space="preserve">Pass. 17/17 Blockchain API source tests cover upload/hash, verified, mismatch, missing, unknown, metadata-only anchoring, and access guards.</x:t>
  </x:si>
  <x:si>
    <x:t xml:space="preserve">Phase 7 chaincode suite</x:t>
  </x:si>
  <x:si>
    <x:t xml:space="preserve">Pass. 18/18 direct Mocha tests include assigned-doctor metadata writes and unauthorized-doctor rejection.</x:t>
  </x:si>
  <x:si>
    <x:t xml:space="preserve">Phase 7 AWS integrity workflow</x:t>
  </x:si>
  <x:si>
    <x:t xml:space="preserve">Pass. Doctor upload and list, metadata-only SHA-256 anchor, doctor/patient/admin verified status, unauthorized-doctor 403, tamper mismatch, and missing-file reporting all passed.</x:t>
  </x:si>
  <x:si>
    <x:t xml:space="preserve">Phase 6 API/source suite</x:t>
  </x:si>
  <x:si>
    <x:t xml:space="preserve">Pass. 20/20 source tests cover off-chain clinical payloads, hashes, complete medical/dental fields, route contracts, access controls, and automatic audit orchestration.</x:t>
  </x:si>
  <x:si>
    <x:t xml:space="preserve">Phase 6 chaincode suite</x:t>
  </x:si>
  <x:si>
    <x:t xml:space="preserve">Pass. 18/18 direct chaincode tests cover metadata-only storage, assigned-doctor access, unauthorized denial, and deterministic immutable access logs.</x:t>
  </x:si>
  <x:si>
    <x:t xml:space="preserve">Phase 6 AWS clinical workflow</x:t>
  </x:si>
  <x:si>
    <x:t xml:space="preserve">Pass. Medical and dental creation, assigned-doctor read, unauthorized-doctor 403, patient-owner read, and immutable automatic access log all passed.</x:t>
  </x:si>
  <x:si>
    <x:t xml:space="preserve">Phase 7A API/source regression suite</x:t>
  </x:si>
  <x:si>
    <x:t xml:space="preserve">Pass. 24/24 combined source tests include 4 Phase 7A checks for appointment/doctor scoping, doctor assignment and Fabric actor validation, and disabled sample lab data.</x:t>
  </x:si>
  <x:si>
    <x:t xml:space="preserve">Phase 7A frontend regression suite</x:t>
  </x:si>
  <x:si>
    <x:t xml:space="preserve">Pass. 4/4 tests cover protected role routes, JWT expiry/clearing, scoped doctor patient data, production console stripping, and disabled demo lab output.</x:t>
  </x:si>
  <x:si>
    <x:t xml:space="preserve">Phase 7A AWS deployment and authenticated runtime</x:t>
  </x:si>
  <x:si>
    <x:t xml:space="preserve">Pass. Commit d6ecc1b is live after backup 20260713-075154-phase7a-predeploy; MySQL/Database API/Blockchain API/Nginx and public proxy checks pass. Authenticated admin, doctor, and patient smoke verifies scoped appointments, doctor visibility, assigned-patient detail, unauthenticated denial, and disabled sample labs.</x:t>
  </x:si>
  <x:si>
    <x:t xml:space="preserve">Phase 7A Compose and local serving</x:t>
  </x:si>
  <x:si>
    <x:t xml:space="preserve">Pass at source level. Compose config and local HTTP serving validate the container definition. AWS deployment preserved the established Nginx static frontend + Docker Database API + PM2 Blockchain API topology; all-services container alignment remains Phase 11.</x:t>
  </x:si>
  <x:si>
    <x:t xml:space="preserve">Pass (Phase 11 partial)</x:t>
  </x:si>
  <x:si>
    <x:t xml:space="preserve">Frontend production build</x:t>
  </x:si>
  <x:si>
    <x:t xml:space="preserve">Pass with warnings for unresolved Inter font paths, Cornerstone fs/path externalization, and large bundle size.</x:t>
  </x:si>
  <x:si>
    <x:t xml:space="preserve">Pass (warnings)</x:t>
  </x:si>
  <x:si>
    <x:t xml:space="preserve">Phase 1 bootstrap syntax/build checks</x:t>
  </x:si>
  <x:si>
    <x:t xml:space="preserve">Pass. node --check succeeded for backend/server.js and dental-backend/index.js; Vite frontend build passed with known warnings.</x:t>
  </x:si>
  <x:si>
    <x:t xml:space="preserve">Chaincode test execution after Git sync</x:t>
  </x:si>
  <x:si>
    <x:t xml:space="preserve">Pass with known tooling issue. All 16 Mocha chaincode checks passed when invoked directly. The npm test pre-hook still fails because the inherited ESLint parser configuration does not parse object spread syntax used by the Node 18+ source.</x:t>
  </x:si>
  <x:si>
    <x:t xml:space="preserve">Pass. Vite 5.3.3 production build completed (1,904 modules). Existing unresolved font and large-chunk warnings remain non-blocking.</x:t>
  </x:si>
  <x:si>
    <x:t xml:space="preserve">Phase 5 frontend production build</x:t>
  </x:si>
  <x:si>
    <x:t xml:space="preserve">Pass on AWS. Vite built 1,905 modules; existing font/Cornerstone/chunk warnings remain non-blocking.</x:t>
  </x:si>
  <x:si>
    <x:t xml:space="preserve">Phase 7 frontend production build</x:t>
  </x:si>
  <x:si>
    <x:t xml:space="preserve">Pass on AWS. Vite production build completed; inherited font/Cornerstone/chunk warnings remain.</x:t>
  </x:si>
  <x:si>
    <x:t xml:space="preserve">Phase 6 frontend production build</x:t>
  </x:si>
  <x:si>
    <x:t xml:space="preserve">Pass on AWS. Vite production build completed (1,907 modules); inherited font/Cornerstone/chunk warnings remain.</x:t>
  </x:si>
  <x:si>
    <x:t xml:space="preserve">Phase 7A frontend lint and production build</x:t>
  </x:si>
  <x:si>
    <x:t xml:space="preserve">Pass. ESLint loads and completes with zero findings under the Phase 7A gate; Vite production build completes with 1,331 modules, a 474.88 kB main chunk, and lazy 1,365.55 kB patient/DICOM code splitting. Cornerstone codec and large-chunk warnings remain.</x:t>
  </x:si>
  <x:si>
    <x:t xml:space="preserve">Appointments page standalone Playwright hotfix verification</x:t>
  </x:si>
  <x:si>
    <x:t xml:space="preserve">Pass. Before commit 767400d, /Appointments rendered an empty body with e.map is not a function and no AppointmentsSection. After deployment, the section renders No appointments found with zero page errors and zero console errors.</x:t>
  </x:si>
  <x:si>
    <x:t xml:space="preserve">Phase 8 API and chaincode syntax checks</x:t>
  </x:si>
  <x:si>
    <x:t xml:space="preserve">Pass. node --check succeeded for dental-backend/index.js and dentalRecordSharing.js after the consent, notification, revocation, and audit changes.</x:t>
  </x:si>
  <x:si>
    <x:t xml:space="preserve">Phase 8 backend/API source regression suite</x:t>
  </x:si>
  <x:si>
    <x:t xml:space="preserve">Pass. 28/28 dental-backend source tests passed, including the new Phase 8 consent, notification, revocation, audit, and patient-facing request-detail checks.</x:t>
  </x:si>
  <x:si>
    <x:t xml:space="preserve">Phase 8 frontend lint/build/source checks</x:t>
  </x:si>
  <x:si>
    <x:t xml:space="preserve">Pass with warnings. Frontend source tests 5/5 passed, ESLint completed with zero findings, and Vite production build succeeded. Existing Cornerstone codec browser-compatibility and large-chunk warnings remain.</x:t>
  </x:si>
  <x:si>
    <x:t xml:space="preserve">Phase 8 AWS deployment build gates</x:t>
  </x:si>
  <x:si>
    <x:t xml:space="preserve">Pass. On the VM, backend/API tests 28/28 passed, direct chaincode tests 18/18 passed, frontend tests 5/5 passed, frontend lint passed, and Vite production build completed with inherited Cornerstone/chunk warnings.</x:t>
  </x:si>
  <x:si>
    <x:t xml:space="preserve">Phase 8 AWS consent/audit runtime smoke</x:t>
  </x:si>
  <x:si>
    <x:t xml:space="preserve">Pass. Authenticated smoke verified public frontend HTTP 200, doctor/admin/patient login, pre-consent denial, doctor request creation, admin notification/approval, patient notification/read status, patient consent metadata, consent-based doctor access, immutable audit retrieval, revocation, and denial after revocation.</x:t>
  </x:si>
  <x:si>
    <x:t xml:space="preserve">Phase 9 source regression suites</x:t>
  </x:si>
  <x:si>
    <x:t xml:space="preserve">Pass. Backend/API syntax and 33/33 tests passed; frontend/mobile integration source tests 8/8 passed.</x:t>
  </x:si>
  <x:si>
    <x:t xml:space="preserve">Phase 9 AWS build and migration gates</x:t>
  </x:si>
  <x:si>
    <x:t xml:space="preserve">Pass with inherited warnings. VM checkout f3f8526; migration applied and schema inspected; Database API rebuilt; frontend lint/build passed; Nginx validated/reloaded.</x:t>
  </x:si>
  <x:si>
    <x:t xml:space="preserve">Phase 9 authenticated appointment smoke</x:t>
  </x:si>
  <x:si>
    <x:t xml:space="preserve">Pass. Admin create/update/cancel, patient upcoming/past/cancelled history, and patient mutation denial passed; marker PHASE9_APPOINTMENT_SMOKE_OK.</x:t>
  </x:si>
  <x:si>
    <x:t xml:space="preserve">Phase 11 Compose configuration</x:t>
  </x:si>
  <x:si>
    <x:t xml:space="preserve">Pass. docker compose config resolved MySQL, Blockchain API, Database API, Nginx frontend, all four health checks, persistent volumes, and the external Fabric mounts.</x:t>
  </x:si>
  <x:si>
    <x:t xml:space="preserve">Phase 11 syntax and regression suites</x:t>
  </x:si>
  <x:si>
    <x:t xml:space="preserve">Pass. New/changed Node files passed syntax checks; Blockchain/API suite passed 39/39 including four Phase 11 deployment tests; frontend suite passed 16/16.</x:t>
  </x:si>
  <x:si>
    <x:t xml:space="preserve">Phase 11 test VM container deployment and endpoints</x:t>
  </x:si>
  <x:si>
    <x:t xml:space="preserve">Pass. Commit 8e03f22 deployed after backup /home/ubuntu/deployment-backups/20260717-142031-phase11-predeploy. Four services healthy; direct/proxied/public HTTP 200; protected 401; admin/doctor/patient and container-to-Fabric smoke passed; marker PHASE11_CONTAINER_FABRIC_SMOKE_OK.</x:t>
  </x:si>
  <x:si>
    <x:t xml:space="preserve">Responsive appointment dialog deployed Playwright verification</x:t>
  </x:si>
  <x:si>
    <x:t xml:space="preserve">Pass. Standalone Playwright confirmed the dialog is absent before activation, opens as a complete themed form, exposes patient/doctor/date/specialty/reason/notes controls, remains operable at 1440x900 and 390x844, and closes without creating data. Console reported 0 errors.</x:t>
  </x:si>
  <x:si>
    <x:t xml:space="preserve">Clinic doctor autosearch deployed Playwright verification</x:t>
  </x:si>
  <x:si>
    <x:t xml:space="preserve">Pass. Standalone Playwright loaded the Add Patient dialog, returned three authorized clinic doctors, filtered the list to Alice Wong from the search combobox, retained the checked doctor as a selected removable chip, and closed without creating data. Console reported 0 errors.</x:t>
  </x:si>
  <x:si>
    <x:t xml:space="preserve">Phase 12 current source regression</x:t>
  </x:si>
  <x:si>
    <x:t xml:space="preserve">Pass. Blockchain/API source tests 39/39 and frontend/mobile source tests 16/16 passed at release commit 9464183.</x:t>
  </x:si>
  <x:si>
    <x:t xml:space="preserve">Phase 12 direct and standard chaincode suite</x:t>
  </x:si>
  <x:si>
    <x:t xml:space="preserve">Pass. Standard correctness lint completed with 0 errors; Mocha passed 18/18; enforced coverage baseline passed.</x:t>
  </x:si>
  <x:si>
    <x:t xml:space="preserve">Phase 12 live container/Fabric health</x:t>
  </x:si>
  <x:si>
    <x:t xml:space="preserve">Pass. Four Compose services healthy; public/direct/proxy HTTP checks returned 200; mychannel basic 1.0.9 sequence 11 retained both organization approvals.</x:t>
  </x:si>
  <x:si>
    <x:t xml:space="preserve">Phase 12 Caliper performance workloads</x:t>
  </x:si>
  <x:si>
    <x:t xml:space="preserve">Pass. Locked Caliper 0.6.0/Fabric 2.5 completed read/write/delete at 1/10/50/100/200: 15/15 rounds, 1,133 successes, 0 failed, with container metrics.</x:t>
  </x:si>
  <x:si>
    <x:t xml:space="preserve">Phase 12 patient web appointment history</x:t>
  </x:si>
  <x:si>
    <x:t xml:space="preserve">Pass. Commit adf611b: frontend 17/17, lint, build, web container health and public HTTP passed. Live Patient1 Playwright reached /appointments, rendered scoped upcoming and past/cancelled history read-only, with zero console/page errors.</x:t>
  </x:si>
  <x:si>
    <x:t xml:space="preserve">Phase 12 standard chaincode gate</x:t>
  </x:si>
  <x:si>
    <x:t xml:space="preserve">Pass. Correctness lint 0 errors; Mocha 18/18; enforced coverage baseline passed.</x:t>
  </x:si>
  <x:si>
    <x:t xml:space="preserve">Phase 12 Caliper matrix</x:t>
  </x:si>
  <x:si>
    <x:t xml:space="preserve">Pass. 15/15 rounds; 1,133 successful transactions; 0 failed; container metrics captured.</x:t>
  </x:si>
  <x:si>
    <x:t xml:space="preserve">Phase 12 fresh browser closure</x:t>
  </x:si>
  <x:si>
    <x:t xml:space="preserve">Pass. 27/27 across Public/Admin/Doctor/Patient; mobile 375px, keyboard, names, fields and appointments; zero unexpected errors.</x:t>
  </x:si>
  <x:si>
    <x:t xml:space="preserve">Phase 12 real DICOM workflow</x:t>
  </x:si>
  <x:si>
    <x:t xml:space="preserve">Pass. Doctor2 upload/hash/verify/view and Patient1 owner verify/view; mismatch/missing/unauthorized negative cases passed.</x:t>
  </x:si>
  <x:si>
    <x:t xml:space="preserve">Phase 10 usability/accessibility source gate</x:t>
  </x:si>
  <x:si>
    <x:t xml:space="preserve">Pass. Commit 52cbd7f removed static personal/account content, strengthened session/routes, accessible notification state, DICOM lazy loading, focus/reduced-motion styling and tests; source tests, lint and build passed.</x:t>
  </x:si>
  <x:si>
    <x:t xml:space="preserve">Phase 10 production hardening deployment</x:t>
  </x:si>
  <x:si>
    <x:t xml:space="preserve">Pass. Commits f37ae85 and b0e46f4 restored production listener behavior, hardened patient/DICOM routes and data states, and passed deployment, API/frontend and public/proxy checks after timestamped backups.</x:t>
  </x:si>
  <x:si>
    <x:t xml:space="preserve">Phase 10 browser findings final closure</x:t>
  </x:si>
  <x:si>
    <x:t xml:space="preserve">Pass in Phase 12 rerun. Fresh latest-release Playwright passed 27/27 across Public/Admin/Doctor/Patient, real DICOM viewer execution passed, 375px overflow was fixed/deployed, and zero unexpected console/page errors remained.</x:t>
  </x:si>
  <x:si>
    <x:t xml:space="preserve">Item</x:t>
  </x:si>
  <x:si>
    <x:t xml:space="preserve">Status / Note</x:t>
  </x:si>
  <x:si>
    <x:t xml:space="preserve">Chaincode RBAC</x:t>
  </x:si>
  <x:si>
    <x:t xml:space="preserve">Phase 2 is deployed and verified on AWS. Remaining work is lifecycle automation for enrollment/revocation when clinics and users are added or removed.</x:t>
  </x:si>
  <x:si>
    <x:t xml:space="preserve">Dependency audit findings</x:t>
  </x:si>
  <x:si>
    <x:t xml:space="preserve">Clean AWS installs reported existing npm audit findings: dental-backend 28 vulnerabilities (3 critical), frontend 33 (1 critical), and chaincode 19 (1 critical). Review and remediate with compatibility testing; do not apply npm audit fix --force directly to production.</x:t>
  </x:si>
  <x:si>
    <x:t xml:space="preserve">Fabric ledger cleanliness</x:t>
  </x:si>
  <x:si>
    <x:t xml:space="preserve">Verification created smoke-test ledger records. For a clean demo, reset the Fabric network and reinitialize the ledger.</x:t>
  </x:si>
  <x:si>
    <x:t xml:space="preserve">Frontend build warnings</x:t>
  </x:si>
  <x:si>
    <x:t xml:space="preserve">Real-browser DICOM codec/viewer execution passed with zero errors. The lazy Cornerstone chunk remains above 500 kB and is a performance-optimization item, not a blocked functional test.</x:t>
  </x:si>
  <x:si>
    <x:t xml:space="preserve">Mobile app runtime</x:t>
  </x:si>
  <x:si>
    <x:t xml:space="preserve">Mobile sign-in and request/consent calls now use JWT plus the login blockchainID; broader mobile screens still include static/placeholder workflows.</x:t>
  </x:si>
  <x:si>
    <x:t xml:space="preserve">MSP/certificate token binding</x:t>
  </x:si>
  <x:si>
    <x:t xml:space="preserve">Completed for current AWS identities on 2026-07-11. JWT claims select clinic/actor-bound X.509 wallet identities; ongoing enrollment/revocation automation remains a lifecycle item.</x:t>
  </x:si>
  <x:si>
    <x:t xml:space="preserve">Patient blockchain identity mapping</x:t>
  </x:si>
  <x:si>
    <x:t xml:space="preserve">Source-level mapping and AWS runtime verification passed 2026-07-11; Patient1-Patient3 mappings are present in the live database.</x:t>
  </x:si>
  <x:si>
    <x:t xml:space="preserve">Phase 3 AWS rollout completed</x:t>
  </x:si>
  <x:si>
    <x:t xml:space="preserve">Passed 2026-07-11. No DB migration required. Backup: /home/ubuntu/deployment-backups/20260711-phase3-predeploy.</x:t>
  </x:si>
  <x:si>
    <x:t xml:space="preserve">Phase 5 doctor CA lifecycle</x:t>
  </x:si>
  <x:si>
    <x:t xml:space="preserve">Phase 5 deployed. Fabric CA enrollment/revocation remains an explicit operation for each newly created/deleted doctor until lifecycle automation is implemented.</x:t>
  </x:si>
  <x:si>
    <x:t xml:space="preserve">Phase 9 legacy doctor clinic linkage</x:t>
  </x:si>
  <x:si>
    <x:t xml:space="preserve">Existing doctors have null Clinic_ID pending authoritative data. Appointment selection permits them only through an existing assignment to a patient in the authenticated admin clinic; no clinic is inferred.</x:t>
  </x:si>
  <x:si>
    <x:t xml:space="preserve">Phase 9 packaged mobile evidence</x:t>
  </x:si>
  <x:si>
    <x:t xml:space="preserve">Authenticated mobile source/API behavior is verified. Packaged iOS/Android device screenshots remain a separate client-artifact handover item if required; they are not a blocked web/Compose test.</x:t>
  </x:si>
  <x:si>
    <x:t xml:space="preserve">SRS production Fabric topology</x:t>
  </x:si>
  <x:si>
    <x:t xml:space="preserve">The accepted test topology has one peer per organization and one orderer. Two peers per organization plus at least three Raft orderers, failover, production profiles, and wallet implications remain production-readiness work.</x:t>
  </x:si>
  <x:si>
    <x:t xml:space="preserve">Phase 12 immutable deployment revision</x:t>
  </x:si>
  <x:si>
    <x:t xml:space="preserve">Label application images with source revision and reconcile the VM deployment checkout so Git HEAD, image metadata, and deployed files identify the same release.</x:t>
  </x:si>
  <x:si>
    <x:t xml:space="preserve">Required On AWS VM</x:t>
  </x:si>
  <x:si>
    <x:t xml:space="preserve">Source / Path</x:t>
  </x:si>
  <x:si>
    <x:t xml:space="preserve">Action / Command</x:t>
  </x:si>
  <x:si>
    <x:t xml:space="preserve">Status / Notes</x:t>
  </x:si>
  <x:si>
    <x:t xml:space="preserve">ENV-01</x:t>
  </x:si>
  <x:si>
    <x:t xml:space="preserve">Shared JWT secret</x:t>
  </x:si>
  <x:si>
    <x:t xml:space="preserve">Yes, before service restart</x:t>
  </x:si>
  <x:si>
    <x:t xml:space="preserve">backend/.env and dental-backend/.env on AWS VM</x:t>
  </x:si>
  <x:si>
    <x:t xml:space="preserve">Set the same strong JWT_SECRET in both APIs.</x:t>
  </x:si>
  <x:si>
    <x:t xml:space="preserve">Passed 2026-07-11. backend/.env and dental-backend/.env JWT_SECRET digests matched.</x:t>
  </x:si>
  <x:si>
    <x:t xml:space="preserve">ENV-02</x:t>
  </x:si>
  <x:si>
    <x:t xml:space="preserve">Admin bootstrap token</x:t>
  </x:si>
  <x:si>
    <x:t xml:space="preserve">Conditional, only if Admin/System JWT is not available for /register</x:t>
  </x:si>
  <x:si>
    <x:t xml:space="preserve">backend/.env on AWS VM</x:t>
  </x:si>
  <x:si>
    <x:t xml:space="preserve">Set ADMIN_BOOTSTRAP_TOKEN, use it through x-bootstrap-token, then rotate/remove when no longer needed.</x:t>
  </x:si>
  <x:si>
    <x:t xml:space="preserve">Not enabled 2026-07-11. ADMIN_BOOTSTRAP_TOKEN is absent; bootstrap registration remains disabled.</x:t>
  </x:si>
  <x:si>
    <x:t xml:space="preserve">MIG-01</x:t>
  </x:si>
  <x:si>
    <x:t xml:space="preserve">Database migration</x:t>
  </x:si>
  <x:si>
    <x:t xml:space="preserve">Yes, before Database API login change is deployed</x:t>
  </x:si>
  <x:si>
    <x:t xml:space="preserve">Source_Code_Remediation/database/migrations/2026-07-10-add-patient-blockchain-id.sql</x:t>
  </x:si>
  <x:si>
    <x:t xml:space="preserve">Run through MySQL client, then verify DESCRIBE Patient and Blockchain_ID backfill.</x:t>
  </x:si>
  <x:si>
    <x:t xml:space="preserve">Passed 2026-07-11. Column and Patient1-Patient3 mappings already existed; rerun returned duplicate-column, so no destructive change was needed.</x:t>
  </x:si>
  <x:si>
    <x:t xml:space="preserve">P3-DEP-01</x:t>
  </x:si>
  <x:si>
    <x:t xml:space="preserve">Phase 3 REST API and chaincode rollout</x:t>
  </x:si>
  <x:si>
    <x:t xml:space="preserve">No database migration</x:t>
  </x:si>
  <x:si>
    <x:t xml:space="preserve">Deploy dental-backend and commit updated basic chaincode sequence; restart PM2 service.</x:t>
  </x:si>
  <x:si>
    <x:t xml:space="preserve">Smoke-test all canonical routes, legacy aliases, 401/403 role cases, doctor/patient actor mismatch, and admin clinic mismatch.</x:t>
  </x:si>
  <x:si>
    <x:t xml:space="preserve">Passed 2026-07-11. AWS checkout b30cae6; PM2 Blockchain API online; basic 1.0.2 sequence 4 committed with Org1MSP/Org2MSP approvals; 13 authenticated smoke checks passed.</x:t>
  </x:si>
  <x:si>
    <x:t xml:space="preserve">P4-APP-01</x:t>
  </x:si>
  <x:si>
    <x:t xml:space="preserve">API/frontend rollout</x:t>
  </x:si>
  <x:si>
    <x:t xml:space="preserve">Yes, after DB and Fabric</x:t>
  </x:si>
  <x:si>
    <x:t xml:space="preserve">backend, dental-backend, bc-dentistry-frontend</x:t>
  </x:si>
  <x:si>
    <x:t xml:space="preserve">Restart both PM2 APIs; clean-install/build frontend; copy dist to /var/www/edr; run authenticated create/update/read/assign/delete and negative role/clinic/owner smoke tests.</x:t>
  </x:si>
  <x:si>
    <x:t xml:space="preserve">Deployed 2026-07-11. APIs restarted, frontend rebuilt/copied to Nginx, and full create/update/read/assign/owner/delete smoke flow passed. Final delete-row fix commit 6d48146 awaits pull/rebuild; two legacy ledger-only patients await preservation/sanitization.</x:t>
  </x:si>
  <x:si>
    <x:t xml:space="preserve">P4-DB-01</x:t>
  </x:si>
  <x:si>
    <x:t xml:space="preserve">Yes, before Phase 4 Database API restart</x:t>
  </x:si>
  <x:si>
    <x:t xml:space="preserve">Source_Code_Remediation/database/migrations/2026-07-11-phase4-patient-management.sql</x:t>
  </x:si>
  <x:si>
    <x:t xml:space="preserve">Back up MySQL; apply migration; DESCRIBE Patient; verify unique Emirates_ID and clinic FK/index.</x:t>
  </x:si>
  <x:si>
    <x:t xml:space="preserve">Passed 2026-07-11. edr_db backed up; clinics 1/2 seeded; ten Phase 4 columns, both indexes, and fk_patient_clinic verified.</x:t>
  </x:si>
  <x:si>
    <x:t xml:space="preserve">P4-FAB-01</x:t>
  </x:si>
  <x:si>
    <x:t xml:space="preserve">Fabric chaincode upgrade</x:t>
  </x:si>
  <x:si>
    <x:t xml:space="preserve">Yes</x:t>
  </x:si>
  <x:si>
    <x:t xml:space="preserve">dentalRecordSharing.js AddPatientMetadata/UpdatePatientMetadata</x:t>
  </x:si>
  <x:si>
    <x:t xml:space="preserve">Package/install/approve/commit next basic version and sequence; sanitize historical patient state containing PII.</x:t>
  </x:si>
  <x:si>
    <x:t xml:space="preserve">Passed 2026-07-11. Chaincode basic 1.0.3 sequence 5 committed with Org1MSP and Org2MSP approvals; Patient1-Patient3 sanitized.</x:t>
  </x:si>
  <x:si>
    <x:t xml:space="preserve">P5-APP-01</x:t>
  </x:si>
  <x:si>
    <x:t xml:space="preserve">Database API/frontend rollout</x:t>
  </x:si>
  <x:si>
    <x:t xml:space="preserve">backend; bc-dentistry-frontend</x:t>
  </x:si>
  <x:si>
    <x:t xml:space="preserve">Restart Database API; clean-install/build frontend; copy dist to /var/www/edr; smoke create/list/search/read/update/self-patients/spoof-denial/delete and clear-error states.</x:t>
  </x:si>
  <x:si>
    <x:t xml:space="preserve">Passed 2026-07-12. Database API rebuilt, frontend clean-installed/built/copied, Nginx validated, and authenticated Phase 5 smoke workflow passed.</x:t>
  </x:si>
  <x:si>
    <x:t xml:space="preserve">P5-DB-01</x:t>
  </x:si>
  <x:si>
    <x:t xml:space="preserve">Yes, before Phase 5 Database API restart</x:t>
  </x:si>
  <x:si>
    <x:t xml:space="preserve">Source_Code_Remediation/database/migrations/2026-07-12-phase5-doctor-management.sql</x:t>
  </x:si>
  <x:si>
    <x:t xml:space="preserve">Back up MySQL; apply migration; backfill real clinic/license/Emirates values for existing doctors; verify uniqueness and no active incomplete rows.</x:t>
  </x:si>
  <x:si>
    <x:t xml:space="preserve">Passed 2026-07-12 after backup. Migration applied; schema verified. Legacy Doctor1/Doctor2 regulated fields remain null pending authoritative source data.</x:t>
  </x:si>
  <x:si>
    <x:t xml:space="preserve">P5-FAB-01</x:t>
  </x:si>
  <x:si>
    <x:t xml:space="preserve">Fabric chaincode/API upgrade</x:t>
  </x:si>
  <x:si>
    <x:t xml:space="preserve">dentalRecordSharing.js; dental-backend/index.js</x:t>
  </x:si>
  <x:si>
    <x:t xml:space="preserve">Package/install/approve/commit next basic version/sequence; restart Blockchain API; verify add/update/read/delete license payloads and clinic denial.</x:t>
  </x:si>
  <x:si>
    <x:t xml:space="preserve">Passed 2026-07-12. Chaincode basic 1.0.4 sequence 6 committed with Org1MSP and Org2MSP approvals; Blockchain API restarted.</x:t>
  </x:si>
  <x:si>
    <x:t xml:space="preserve">P5-ID-01</x:t>
  </x:si>
  <x:si>
    <x:t xml:space="preserve">Fabric doctor identity lifecycle</x:t>
  </x:si>
  <x:si>
    <x:t xml:space="preserve">Yes, after each create/delete</x:t>
  </x:si>
  <x:si>
    <x:t xml:space="preserve">dental-backend/registerRoleIdentities.js and Fabric CA/wallet</x:t>
  </x:si>
  <x:si>
    <x:t xml:space="preserve">Enroll doctor-&lt;doctorID&gt; with role=doctor and actorID=&lt;doctorID&gt; after creation; revoke/remove the matching identity after deletion; back up wallet first.</x:t>
  </x:si>
  <x:si>
    <x:t xml:space="preserve">Operational carry-forward. Existing identities remain bound; enroll doctor-&lt;doctorID&gt; after new doctor creation and revoke after deletion until lifecycle automation is implemented.</x:t>
  </x:si>
  <x:si>
    <x:t xml:space="preserve">P6-APP-01</x:t>
  </x:si>
  <x:si>
    <x:t xml:space="preserve">Clinical APIs/frontend rollout and smoke</x:t>
  </x:si>
  <x:si>
    <x:t xml:space="preserve">backend; dental-backend; bc-dentistry-frontend; Phase6_Clinical_Records_Deployment.md</x:t>
  </x:si>
  <x:si>
    <x:t xml:space="preserve">Rebuild/restart APIs, build/copy frontend, reload Nginx, and execute medical/dental create-read-access-audit workflow.</x:t>
  </x:si>
  <x:si>
    <x:t xml:space="preserve">Passed 2026-07-12 after backups 20260712-171146 and 20260712-171801. Full clinical workflow smoke passed.</x:t>
  </x:si>
  <x:si>
    <x:t xml:space="preserve">P6-DB-01</x:t>
  </x:si>
  <x:si>
    <x:t xml:space="preserve">Clinical record database migration</x:t>
  </x:si>
  <x:si>
    <x:t xml:space="preserve">Yes, before Phase 6 Database API restart</x:t>
  </x:si>
  <x:si>
    <x:t xml:space="preserve">database/migrations/2026-07-12-phase6-clinical-records.sql</x:t>
  </x:si>
  <x:si>
    <x:t xml:space="preserve">Back up MySQL; apply migration; verify Clinical_Record schema and patient foreign key.</x:t>
  </x:si>
  <x:si>
    <x:t xml:space="preserve">Passed 2026-07-12. Migration applied and schema verified on AWS.</x:t>
  </x:si>
  <x:si>
    <x:t xml:space="preserve">P6-FAB-01</x:t>
  </x:si>
  <x:si>
    <x:t xml:space="preserve">Fabric clinical metadata and audit upgrade</x:t>
  </x:si>
  <x:si>
    <x:t xml:space="preserve">Package/install/approve/commit corrected metadata-only and deterministic audit chaincode; restart Blockchain API.</x:t>
  </x:si>
  <x:si>
    <x:t xml:space="preserve">Passed 2026-07-12. Initial sequence 8 exposed nondeterministic wall-clock audit timestamps; corrected basic 1.0.7 sequence 9 committed with Org1MSP and Org2MSP approvals.</x:t>
  </x:si>
  <x:si>
    <x:t xml:space="preserve">P7-APP-01</x:t>
  </x:si>
  <x:si>
    <x:t xml:space="preserve">Frontend rollout and integrity smoke</x:t>
  </x:si>
  <x:si>
    <x:t xml:space="preserve">Yes, after storage and Fabric</x:t>
  </x:si>
  <x:si>
    <x:t xml:space="preserve">bc-dentistry-frontend; Phase7_DICOM_Storage_And_Deployment.md</x:t>
  </x:si>
  <x:si>
    <x:t xml:space="preserve">Build/copy frontend, reload Nginx, then run upload/verify/tamper/missing/unauthorized workflow.</x:t>
  </x:si>
  <x:si>
    <x:t xml:space="preserve">Passed 2026-07-12 after backups 20260712-111048 and 20260712-111209. Frontend/Nginx rollout and full smoke workflow passed.</x:t>
  </x:si>
  <x:si>
    <x:t xml:space="preserve">P7-FAB-01</x:t>
  </x:si>
  <x:si>
    <x:t xml:space="preserve">Package/install/approve/commit metadata-only file transactions; restart Blockchain API with storage environment.</x:t>
  </x:si>
  <x:si>
    <x:t xml:space="preserve">Passed 2026-07-12. basic 1.0.5 sequence 7 committed with Org1MSP and Org2MSP approvals; PM2 Blockchain API restarted.</x:t>
  </x:si>
  <x:si>
    <x:t xml:space="preserve">P7-STOR-01</x:t>
  </x:si>
  <x:si>
    <x:t xml:space="preserve">Private radiographic filesystem</x:t>
  </x:si>
  <x:si>
    <x:t xml:space="preserve">Yes, before Blockchain API restart</x:t>
  </x:si>
  <x:si>
    <x:t xml:space="preserve">AWS /var/lib/edr/radiographic-files; dental-backend/.env</x:t>
  </x:si>
  <x:si>
    <x:t xml:space="preserve">Create private persistent directory mode 0700 and set RADIOGRAPHIC_STORAGE_ROOT plus upload limit.</x:t>
  </x:si>
  <x:si>
    <x:t xml:space="preserve">Passed 2026-07-12. Directory configured at /var/lib/edr/radiographic-files; no MySQL migration was required.</x:t>
  </x:si>
  <x:si>
    <x:t xml:space="preserve">TEST-01</x:t>
  </x:si>
  <x:si>
    <x:t xml:space="preserve">Phase 1 smoke tests</x:t>
  </x:si>
  <x:si>
    <x:t xml:space="preserve">Yes, after migration, env update, and service restart</x:t>
  </x:si>
  <x:si>
    <x:t xml:space="preserve">Outputs/SRS_Compliance_Base/Phase1_AWS_Deployment_Runbook.md</x:t>
  </x:si>
  <x:si>
    <x:t xml:space="preserve">Execute checklist items 1-9 against the AWS VM.</x:t>
  </x:si>
  <x:si>
    <x:t xml:space="preserve">Passed again after Git sync on 2026-07-11 at commit 4892875. Public checks: frontend 200; unauthenticated Database/Blockchain APIs 401; admin paths 200; doctor and patient cross-identity paths 403; anonymous registration 401; authorized invalid registration reached 400 validation.</x:t>
  </x:si>
  <x:si>
    <x:t xml:space="preserve">P8-DB-01</x:t>
  </x:si>
  <x:si>
    <x:t xml:space="preserve">Database migration assessment</x:t>
  </x:si>
  <x:si>
    <x:t xml:space="preserve">No MySQL migration required</x:t>
  </x:si>
  <x:si>
    <x:t xml:space="preserve">Phase 8 consent/notification/audit deployment</x:t>
  </x:si>
  <x:si>
    <x:t xml:space="preserve">No Phase 8 database migration file was required. Runtime rollout required Fabric chaincode upgrade plus Blockchain API/web deployment and smoke verification.</x:t>
  </x:si>
  <x:si>
    <x:t xml:space="preserve">Passed 2026-07-14. No MySQL migration was run; final Fabric lifecycle migration is tracked separately in P8-FAB-01.</x:t>
  </x:si>
  <x:si>
    <x:t xml:space="preserve">P8-FAB-01</x:t>
  </x:si>
  <x:si>
    <x:t xml:space="preserve">Fabric consent, notification, revocation, and audit chaincode upgrade</x:t>
  </x:si>
  <x:si>
    <x:t xml:space="preserve">Package/install/approve/commit Phase 8 chaincode, restart Blockchain API, rebuild/copy frontend, and run consent/audit smoke.</x:t>
  </x:si>
  <x:si>
    <x:t xml:space="preserve">Passed 2026-07-14. Initial `basic` 1.0.8 sequence 10 was superseded after Fabric JavaScript default-parameter metadata arity mismatch; final `basic` 1.0.9 sequence 11 committed with Org1MSP/Org2MSP approvals and smoke marker `PHASE8_CONSENT_AUDIT_SMOKE_OK`.</x:t>
  </x:si>
  <x:si>
    <x:t xml:space="preserve">P9-DB-01</x:t>
  </x:si>
  <x:si>
    <x:t xml:space="preserve">Appointment lifecycle database migration</x:t>
  </x:si>
  <x:si>
    <x:t xml:space="preserve">Yes, before Phase 9 Database API restart</x:t>
  </x:si>
  <x:si>
    <x:t xml:space="preserve">Back up MySQL; apply migration; verify Appointment columns; rebuild Database API.</x:t>
  </x:si>
  <x:si>
    <x:t xml:space="preserve">Passed 2026-07-15. Auto-increment, datetime, specialty, status, cancellation, and modified columns verified on AWS.</x:t>
  </x:si>
  <x:si>
    <x:t xml:space="preserve">P9-APP-01</x:t>
  </x:si>
  <x:si>
    <x:t xml:space="preserve">Appointment API/web rollout and smoke</x:t>
  </x:si>
  <x:si>
    <x:t xml:space="preserve">Yes, after database migration</x:t>
  </x:si>
  <x:si>
    <x:t xml:space="preserve">backend; bc-dentistry-frontend; Phase 9 deployment/smoke scripts</x:t>
  </x:si>
  <x:si>
    <x:t xml:space="preserve">Align Git, rebuild Database API/frontend, copy to Nginx, run authenticated appointment smoke.</x:t>
  </x:si>
  <x:si>
    <x:t xml:space="preserve">Passed 2026-07-15 at f3f8526. No Fabric upgrade; basic remains 1.0.9 sequence 11.</x:t>
  </x:si>
  <x:si>
    <x:t xml:space="preserve">P11-DB-01</x:t>
  </x:si>
  <x:si>
    <x:t xml:space="preserve">Phase 11 database migration assessment</x:t>
  </x:si>
  <x:si>
    <x:t xml:space="preserve">No database migration required</x:t>
  </x:si>
  <x:si>
    <x:t xml:space="preserve">docker-compose.yml; docs/PHASE11_DEPLOYMENT.md</x:t>
  </x:si>
  <x:si>
    <x:t xml:space="preserve">Preserve/back up the existing MySQL named volume; do not re-run initialization scripts against a populated volume.</x:t>
  </x:si>
  <x:si>
    <x:t xml:space="preserve">Passed at source assessment. Phase 11 changes deployment topology and health checks only; no schema migration file was added.</x:t>
  </x:si>
  <x:si>
    <x:t xml:space="preserve">P11-APP-01</x:t>
  </x:si>
  <x:si>
    <x:t xml:space="preserve">Phase 11 application Compose rollout</x:t>
  </x:si>
  <x:si>
    <x:t xml:space="preserve">Yes, after backup; no DB/Fabric migration</x:t>
  </x:si>
  <x:si>
    <x:t xml:space="preserve">commit 8e03f22; docker-compose.yml; Phase 11 deployment scripts</x:t>
  </x:si>
  <x:si>
    <x:t xml:space="preserve">Back up source/config/data, build four services, stop PM2 gateway, start Compose, switch public Nginx, verify health/Fabric, then remove PM2 process.</x:t>
  </x:si>
  <x:si>
    <x:t xml:space="preserve">Passed 2026-07-17. All four services healthy; public/proxied/direct and authenticated Fabric smoke passed; basic remains 1.0.9 sequence 11.</x:t>
  </x:si>
  <x:si>
    <x:t xml:space="preserve">UI-APP-01</x:t>
  </x:si>
  <x:si>
    <x:t xml:space="preserve">Production appointment/patient UI rollout</x:t>
  </x:si>
  <x:si>
    <x:t xml:space="preserve">No database or Fabric migration required</x:t>
  </x:si>
  <x:si>
    <x:t xml:space="preserve">commits f1f7d254 and 9464183; bc-dentistry-frontend</x:t>
  </x:si>
  <x:si>
    <x:t xml:space="preserve">Build an isolated committed frontend image; recreate only the web-frontend Compose service; verify container health, public bundle fingerprint, responsive appointment dialog, and clinic doctor search with standalone Playwright.</x:t>
  </x:si>
  <x:si>
    <x:t xml:space="preserve">Passed 2026-07-18. web-frontend container healthy; public bundle index-DQzwu7cU.js active; 16/16 frontend tests, lint, and production build passed; deployed Playwright checks passed with 0 console errors.</x:t>
  </x:si>
  <x:si>
    <x:t xml:space="preserve">P12-EVID-01</x:t>
  </x:si>
  <x:si>
    <x:t xml:space="preserve">Phase 12 final evidence closure</x:t>
  </x:si>
  <x:si>
    <x:t xml:space="preserve">No application, database, or Fabric migration required for the evidence package</x:t>
  </x:si>
  <x:si>
    <x:t xml:space="preserve">Outputs/phase12_evidence; release commit 23efacb</x:t>
  </x:si>
  <x:si>
    <x:t xml:space="preserve">Run source/runtime/Fabric, standard chaincode, live workflow, Playwright, DICOM and Caliper gates; reconcile all evidence sheets.</x:t>
  </x:si>
  <x:si>
    <x:t xml:space="preserve">Completed 2026-07-18: 70 Pass, 0 Fail, 0 Blocked; 15/15 Caliper rounds and 27/27 Playwright passed.</x:t>
  </x:si>
  <x:si>
    <x:t xml:space="preserve">P12-APP-02</x:t>
  </x:si>
  <x:si>
    <x:t xml:space="preserve">Patient web appointment frontend rollout</x:t>
  </x:si>
  <x:si>
    <x:t xml:space="preserve">commit adf611b; bc-dentistry-frontend</x:t>
  </x:si>
  <x:si>
    <x:t xml:space="preserve">Back up current frontend source/image metadata; build and recreate web-frontend only; verify public HTTP and Patient1 routes.</x:t>
  </x:si>
  <x:si>
    <x:t xml:space="preserve">Passed 2026-07-18 after backup /home/ubuntu/deployment-backups/20260718-180133-phase12-patient-appointments-predeploy.</x:t>
  </x:si>
  <x:si>
    <x:t xml:space="preserve">P12-UI-03</x:t>
  </x:si>
  <x:si>
    <x:t xml:space="preserve">Mobile overflow frontend rollout</x:t>
  </x:si>
  <x:si>
    <x:t xml:space="preserve">Navbar.jsx; index.css</x:t>
  </x:si>
  <x:si>
    <x:t xml:space="preserve">Back up frontend; test/lint/build; rebuild only web-frontend; verify public HTTP and Playwright 375px.</x:t>
  </x:si>
  <x:si>
    <x:t xml:space="preserve">Passed 2026-07-18; frontend 17/17, lint/build, public HTTP and 27/27 Playwright green.</x:t>
  </x:si>
  <x:si>
    <x:t xml:space="preserve">P10-APP-01</x:t>
  </x:si>
  <x:si>
    <x:t xml:space="preserve">Phase 10 usability/accessibility rollout</x:t>
  </x:si>
  <x:si>
    <x:t xml:space="preserve">commit 52cbd7f; web/mobile frontend source</x:t>
  </x:si>
  <x:si>
    <x:t xml:space="preserve">Back up source/runtime; deploy frontend changes; validate tests, lint, build, APIs, Nginx/proxy and authenticated roles.</x:t>
  </x:si>
  <x:si>
    <x:t xml:space="preserve">Passed 2026-07-16 after backup /home/ubuntu/deployment-backups/20260716-134749-phase10-predeploy.</x:t>
  </x:si>
  <x:si>
    <x:t xml:space="preserve">P10-HARD-01</x:t>
  </x:si>
  <x:si>
    <x:t xml:space="preserve">Phase 10 production hardening and listener recovery</x:t>
  </x:si>
  <x:si>
    <x:t xml:space="preserve">commits f37ae85 and b0e46f4; frontend and Blockchain API</x:t>
  </x:si>
  <x:si>
    <x:t xml:space="preserve">Back up live/source frontend; deploy production hardening; restore listener; rebuild/restart affected services; verify public/proxy/API behavior.</x:t>
  </x:si>
  <x:si>
    <x:t xml:space="preserve">Passed 2026-07-16 after backup /home/ubuntu/deployment-backups/20260716-175627-phase10-production-hardening-predeploy.</x:t>
  </x:si>
  <x:si>
    <x:t xml:space="preserve">Change ID</x:t>
  </x:si>
  <x:si>
    <x:t xml:space="preserve">Change / Control</x:t>
  </x:si>
  <x:si>
    <x:t xml:space="preserve">Why This Change Was Required</x:t>
  </x:si>
  <x:si>
    <x:t xml:space="preserve">SRS Gap Before Change</x:t>
  </x:si>
  <x:si>
    <x:t xml:space="preserve">SRS Requirement(s) Addressed</x:t>
  </x:si>
  <x:si>
    <x:t xml:space="preserve">Evidence / Result</x:t>
  </x:si>
  <x:si>
    <x:t xml:space="preserve">Remaining SRS Limitation</x:t>
  </x:si>
  <x:si>
    <x:t xml:space="preserve">Chaincode MSP and RBAC enforcement</x:t>
  </x:si>
  <x:si>
    <x:t xml:space="preserve">API JWT checks alone could be bypassed by invoking chaincode directly or through another gateway. Fabric therefore needed to enforce authorization at the ledger execution boundary.</x:t>
  </x:si>
  <x:si>
    <x:t xml:space="preserve">Chaincode functions trusted the REST layer and did not consistently verify the invoking MSP, role, actor, clinic, ownership, assignment, or consent context.</x:t>
  </x:si>
  <x:si>
    <x:t xml:space="preserve">SEC-02; SEC-06; FR-03; FR-13; FR-24; FR-25; FR-27</x:t>
  </x:si>
  <x:si>
    <x:t xml:space="preserve">Implemented and deployed. Trusted Org1MSP/Org2MSP plus role, actorID, and clinicID attributes are validated by chaincode.</x:t>
  </x:si>
  <x:si>
    <x:t xml:space="preserve">Automate enrollment/revocation as users and clinics are added or removed.</x:t>
  </x:si>
  <x:si>
    <x:t xml:space="preserve">JWT-to-Fabric wallet identity binding</x:t>
  </x:si>
  <x:si>
    <x:t xml:space="preserve">Transactions submitted as one shared appUser certificate could not prove which authenticated admin, doctor, patient, or system actor initiated the Fabric operation.</x:t>
  </x:si>
  <x:si>
    <x:t xml:space="preserve">The Blockchain API used a shared Fabric identity, leaving an impersonation and non-repudiation gap even though API routes validated JWTs.</x:t>
  </x:si>
  <x:si>
    <x:t xml:space="preserve">SEC-06; SEC-08; FR-24; FR-26</x:t>
  </x:si>
  <x:si>
    <x:t xml:space="preserve">Implemented. JWT organization/blockchain claims select admin-, doctor-, patient-, or system-specific wallet identities; missing identities are rejected before gateway connection.</x:t>
  </x:si>
  <x:si>
    <x:t xml:space="preserve">FR-02 remains a documented deviation: the API JWT itself is still signed with JWT_SECRET rather than an MSP certificate.</x:t>
  </x:si>
  <x:si>
    <x:t xml:space="preserve">Role/actor-bound Fabric CA enrollment</x:t>
  </x:si>
  <x:si>
    <x:t xml:space="preserve">Chaincode cannot make cryptographically grounded role and ownership decisions unless certificate attributes are issued and embedded by the Fabric CA.</x:t>
  </x:si>
  <x:si>
    <x:t xml:space="preserve">The wallet contained only admin and shared appUser identities without the role, actorID, and admin clinicID attributes required by Phase 2 checks.</x:t>
  </x:si>
  <x:si>
    <x:t xml:space="preserve">SEC-02; SEC-06; FR-03</x:t>
  </x:si>
  <x:si>
    <x:t xml:space="preserve">Implemented on AWS. Clinic-bound admin, actor-bound doctor/patient, and system certificates were enrolled after backing up the wallet.</x:t>
  </x:si>
  <x:si>
    <x:t xml:space="preserve">Identity issuance is currently an operational script, not yet integrated into database user lifecycle workflows.</x:t>
  </x:si>
  <x:si>
    <x:t xml:space="preserve">Admin clinic-bound authorization</x:t>
  </x:si>
  <x:si>
    <x:t xml:space="preserve">An Admin role by itself must not authorize an administrator from one clinic to manage or approve requests for another clinic.</x:t>
  </x:si>
  <x:si>
    <x:t xml:space="preserve">Chaincode admin operations checked role but did not cryptographically bind the administrator to the target clinic.</x:t>
  </x:si>
  <x:si>
    <x:t xml:space="preserve">FR-05 to FR-14; FR-22; FR-28; SEC-08</x:t>
  </x:si>
  <x:si>
    <x:t xml:space="preserve">Implemented. Relevant patient/doctor management and request operations compare the transaction certificate clinicID with the requested clinic.</x:t>
  </x:si>
  <x:si>
    <x:t xml:space="preserve">Full patient/doctor CRUD and notification workflow coverage remains in later phases.</x:t>
  </x:si>
  <x:si>
    <x:t xml:space="preserve">P2-05</x:t>
  </x:si>
  <x:si>
    <x:t xml:space="preserve">Doctor actor, assignment, and consent checks</x:t>
  </x:si>
  <x:si>
    <x:t xml:space="preserve">A doctor certificate must not impersonate another doctor or write/read clinical data for an unrelated patient.</x:t>
  </x:si>
  <x:si>
    <x:t xml:space="preserve">Doctor-only role checks did not consistently enforce actorID, assigned-patient relationships, or granted sharing consent inside chaincode.</x:t>
  </x:si>
  <x:si>
    <x:t xml:space="preserve">FR-13; FR-15; FR-16; FR-17; FR-21; FR-25; SEC-08</x:t>
  </x:si>
  <x:si>
    <x:t xml:space="preserve">Implemented. Doctor identity, assignment, and consent are enforced for assigned-patient queries, requests, clinical records, dental data, and files.</x:t>
  </x:si>
  <x:si>
    <x:t xml:space="preserve">Complete clinical REST/UI workflows and automatic access logging are still scheduled for later phases.</x:t>
  </x:si>
  <x:si>
    <x:t xml:space="preserve">P2-06</x:t>
  </x:si>
  <x:si>
    <x:t xml:space="preserve">Patient owner-only chaincode paths</x:t>
  </x:si>
  <x:si>
    <x:t xml:space="preserve">API owner checks were insufficient if a patient could call Fabric through another client or alter a transaction argument.</x:t>
  </x:si>
  <x:si>
    <x:t xml:space="preserve">Patient request, consent, and record transactions needed certificate actorID-to-patientID enforcement at chaincode level.</x:t>
  </x:si>
  <x:si>
    <x:t xml:space="preserve">FR-24; FR-27; SEC-02; SEC-06; SEC-08</x:t>
  </x:si>
  <x:si>
    <x:t xml:space="preserve">Implemented. Patient certificate actorID must match the requested patient for consent, queues, records, dental data, and files.</x:t>
  </x:si>
  <x:si>
    <x:t xml:space="preserve">Consent revocation, notifications, and full mobile workflow remain later-phase items.</x:t>
  </x:si>
  <x:si>
    <x:t xml:space="preserve">P2-07</x:t>
  </x:si>
  <x:si>
    <x:t xml:space="preserve">System-only initialization and access logging</x:t>
  </x:si>
  <x:si>
    <x:t xml:space="preserve">Ledger initialization and immutable audit creation are privileged service operations and must not be callable by ordinary users.</x:t>
  </x:si>
  <x:si>
    <x:t xml:space="preserve">Initialization/helper functions were publicly invokable and LogAccess needed a dedicated service identity boundary.</x:t>
  </x:si>
  <x:si>
    <x:t xml:space="preserve">FR-26; SEC-02; GDPR audit requirement</x:t>
  </x:si>
  <x:si>
    <x:t xml:space="preserve">Implemented. System certificate is required for initialization and LogAccess; public actorExists is restricted to Admin/System.</x:t>
  </x:si>
  <x:si>
    <x:t xml:space="preserve">Automatic LogAccess invocation on every approved data read remains Phase 8 work.</x:t>
  </x:si>
  <x:si>
    <x:t xml:space="preserve">P2-08</x:t>
  </x:si>
  <x:si>
    <x:t xml:space="preserve">Role/MSP violation and live deployment evidence</x:t>
  </x:si>
  <x:si>
    <x:t xml:space="preserve">Security controls require negative tests and deployed evidence; source inspection alone cannot prove enforcement across Fabric identities.</x:t>
  </x:si>
  <x:si>
    <x:t xml:space="preserve">The SRS testing section required pass/fail evidence for unauthorized admin, doctor, patient, system, and MSP paths.</x:t>
  </x:si>
  <x:si>
    <x:t xml:space="preserve">SRS Section 8; SEC-02; SEC-06</x:t>
  </x:si>
  <x:si>
    <x:t xml:space="preserve">Passed after Git-synchronized redeployment of commit 4892875: 16 direct chaincode tests, 4 gateway resolver tests, 9 live Fabric identity checks, and the full AWS API regression smoke suite. Chaincode basic 1.0.1 sequence 3 remains committed by Org1MSP and Org2MSP.</x:t>
  </x:si>
  <x:si>
    <x:t xml:space="preserve">Performance, full workflow, and remaining FR evidence continue in Phase 12.</x:t>
  </x:si>
  <x:si>
    <x:t xml:space="preserve">P4-FR05-10</x:t>
  </x:si>
  <x:si>
    <x:t xml:space="preserve">FR-05 to FR-10</x:t>
  </x:si>
  <x:si>
    <x:t xml:space="preserve">Deployed with final delete-row correction pending</x:t>
  </x:si>
  <x:si>
    <x:t xml:space="preserve">Hybrid patient CRUD/assignment with all SRS fields, UUID and UI actions.</x:t>
  </x:si>
  <x:si>
    <x:t xml:space="preserve">Full AWS workflow passed; commit 6d48146 fixes explicit Patient subtype deletion.</x:t>
  </x:si>
  <x:si>
    <x:t xml:space="preserve">Pull/rebuild 6d48146 and rerun cleanup verification.</x:t>
  </x:si>
  <x:si>
    <x:t xml:space="preserve">P4-SEC03</x:t>
  </x:si>
  <x:si>
    <x:t xml:space="preserve">SEC-03</x:t>
  </x:si>
  <x:si>
    <x:t xml:space="preserve">Deployed for mapped patients</x:t>
  </x:si>
  <x:si>
    <x:t xml:space="preserve">MySQL PII plus Fabric reference/SHA-256 metadata only.</x:t>
  </x:si>
  <x:si>
    <x:t xml:space="preserve">Patient1-Patient3 sanitized; chaincode 1.0.3 sequence 5 committed.</x:t>
  </x:si>
  <x:si>
    <x:t xml:space="preserve">Preserve/import and sanitize ledger-only Patient5 and PatientQA001; Phase 5 handles doctor PII.</x:t>
  </x:si>
  <x:si>
    <x:t xml:space="preserve">P5-FR11-12-14</x:t>
  </x:si>
  <x:si>
    <x:t xml:space="preserve">Doctor CRUD completion</x:t>
  </x:si>
  <x:si>
    <x:t xml:space="preserve">Doctor profiles and user identities were split between incomplete MySQL and Fabric paths.</x:t>
  </x:si>
  <x:si>
    <x:t xml:space="preserve">License number, unified registration, clinic-scoped read/update/delete, and admin UI were incomplete.</x:t>
  </x:si>
  <x:si>
    <x:t xml:space="preserve">FR-11; FR-12; FR-14; SEC-06</x:t>
  </x:si>
  <x:si>
    <x:t xml:space="preserve">Deployed and smoke-tested on AWS from 4da2e8e.</x:t>
  </x:si>
  <x:si>
    <x:t xml:space="preserve">Legacy Doctor1/Doctor2 regulated values await authoritative backfill; CA lifecycle automation remains open.</x:t>
  </x:si>
  <x:si>
    <x:t xml:space="preserve">P5-FR13</x:t>
  </x:si>
  <x:si>
    <x:t xml:space="preserve">Authenticated doctor assigned-patient retrieval</x:t>
  </x:si>
  <x:si>
    <x:t xml:space="preserve">A route doctor ID remained client-controlled even though middleware checked it.</x:t>
  </x:si>
  <x:si>
    <x:t xml:space="preserve">Clients could attempt identity spoofing through a path parameter.</x:t>
  </x:si>
  <x:si>
    <x:t xml:space="preserve">Self route and spoof denial passed on AWS.</x:t>
  </x:si>
  <x:si>
    <x:t xml:space="preserve">Complete.</x:t>
  </x:si>
  <x:si>
    <x:t xml:space="preserve">P6-FR15-18</x:t>
  </x:si>
  <x:si>
    <x:t xml:space="preserve">Complete clinical record management</x:t>
  </x:si>
  <x:si>
    <x:t xml:space="preserve">The SRS requires complete medical and dental entry, authorized retrieval, and immutable access auditing without exposing clinical payloads on-chain.</x:t>
  </x:si>
  <x:si>
    <x:t xml:space="preserve">The baseline had isolated legacy methods, incomplete fields, no coordinated API/UI, and no automatic retrieval audit.</x:t>
  </x:si>
  <x:si>
    <x:t xml:space="preserve">Implemented and deployed: MySQL clinical payloads, SHA-256 Fabric metadata, complete UI/API fields, assigned/consented doctor and patient-owner access, deterministic automatic audit logs; source tests 20/20, chaincode 18/18, AWS smoke passed; basic 1.0.7 sequence 9.</x:t>
  </x:si>
  <x:si>
    <x:t xml:space="preserve">Fabric CA enrollment/revocation remains an operational lifecycle step; clinical payloads intentionally remain off-chain.</x:t>
  </x:si>
  <x:si>
    <x:t xml:space="preserve">P7-FR19-20-SEC04</x:t>
  </x:si>
  <x:si>
    <x:t xml:space="preserve">DICOM off-chain storage and integrity verification</x:t>
  </x:si>
  <x:si>
    <x:t xml:space="preserve">The baseline exposed only a sample DICOM viewer and a legacy CID metadata path; it did not persist private radiographic bytes, anchor SHA-256, or detect tampering and missing files.</x:t>
  </x:si>
  <x:si>
    <x:t xml:space="preserve">FR-19, FR-20, and SEC-04 were missing or partial: no production upload/storage boundary, digest workflow, four-state verification API, access-controlled metadata UI, or deployment evidence.</x:t>
  </x:si>
  <x:si>
    <x:t xml:space="preserve">FR-19; FR-20; SEC-04; SEC-08</x:t>
  </x:si>
  <x:si>
    <x:t xml:space="preserve">Deployed on AWS with private filesystem storage and Fabric basic 1.0.5 sequence 7. Upload, metadata-only SHA-256 anchor, assigned-doctor list, patient/admin verified status, unauthorized-doctor denial, mismatch, and missing-file checks passed.</x:t>
  </x:si>
  <x:si>
    <x:t xml:space="preserve">Current filesystem strategy is single-host; future multi-host scaling should move bytes to approved encrypted private object storage while retaining opaque references and on-chain SHA-256.</x:t>
  </x:si>
  <x:si>
    <x:t xml:space="preserve">SRS Section 5 API gateway parity</x:t>
  </x:si>
  <x:si>
    <x:t xml:space="preserve">Phase 3</x:t>
  </x:si>
  <x:si>
    <x:t xml:space="preserve">Deployed and verified</x:t>
  </x:si>
  <x:si>
    <x:t xml:space="preserve">dental-backend/index.js; phase3RouteParity.test.js; AWS basic 1.0.2 sequence 4</x:t>
  </x:si>
  <x:si>
    <x:t xml:space="preserve">Six canonical routes, patient/doctor CRUD, separate reject routes, normalized envelopes</x:t>
  </x:si>
  <x:si>
    <x:t xml:space="preserve">7/7 route tests and 13/13 AWS smoke checks pass</x:t>
  </x:si>
  <x:si>
    <x:t xml:space="preserve">Complete</x:t>
  </x:si>
  <x:si>
    <x:t xml:space="preserve">P8-FR21-28-SEC08</x:t>
  </x:si>
  <x:si>
    <x:t xml:space="preserve">Consent, sharing, notifications, revocation, and audit workflow</x:t>
  </x:si>
  <x:si>
    <x:t xml:space="preserve">The SRS requires explicit doctor request, holding-clinic admin decision, patient consent/rejection, revocation, notification visibility, and immutable access audit controls.</x:t>
  </x:si>
  <x:si>
    <x:t xml:space="preserve">Request records lacked full who/what/when/why context, notifications were absent/static, revocation was missing, and audit retrieval/context was incomplete.</x:t>
  </x:si>
  <x:si>
    <x:t xml:space="preserve">Implemented and deployed on AWS. Backend/API tests 28/28, direct chaincode tests 18/18, frontend tests 5/5, lint, Vite build, and authenticated Doctor -&gt; Admin -&gt; Patient -&gt; access -&gt; audit -&gt; revoke smoke passed; final chaincode `basic` 1.0.9 sequence 11.</x:t>
  </x:si>
  <x:si>
    <x:t xml:space="preserve">External push notification delivery and packaged mobile-device runtime evidence remain separate if required; the deployed implementation covers in-app ledger notifications and API/web consent workflow.</x:t>
  </x:si>
  <x:si>
    <x:t xml:space="preserve">P9-FR29-31</x:t>
  </x:si>
  <x:si>
    <x:t xml:space="preserve">Appointment lifecycle and patient history</x:t>
  </x:si>
  <x:si>
    <x:t xml:space="preserve">The SRS requires admin create/update/cancel and patient upcoming/past views organized by specialty/date.</x:t>
  </x:si>
  <x:si>
    <x:t xml:space="preserve">Only a scoped legacy read existed; web/mobile mutations and mobile history were static or absent.</x:t>
  </x:si>
  <x:si>
    <x:t xml:space="preserve">Deployed at f3f8526. Migration, API/UI/mobile source, 33/33 API tests, 8/8 frontend tests, and authenticated AWS smoke passed.</x:t>
  </x:si>
  <x:si>
    <x:t xml:space="preserve">Packaged mobile-device evidence remains; legacy doctor clinic IDs remain null and use assignment-only fallback.</x:t>
  </x:si>
  <x:si>
    <x:t xml:space="preserve">P11-ARCH-CONTAINER</x:t>
  </x:si>
  <x:si>
    <x:t xml:space="preserve">Complete non-Fabric Compose boundary and explicit Fabric exception</x:t>
  </x:si>
  <x:si>
    <x:t xml:space="preserve">The SRS requires containerized server deployment and unambiguous architecture/operations before final evidence capture.</x:t>
  </x:si>
  <x:si>
    <x:t xml:space="preserve">The Blockchain gateway remained host-run/PM2 and the Compose/Fabric/mobile boundary and topology deviation were ambiguous.</x:t>
  </x:si>
  <x:si>
    <x:t xml:space="preserve">Architecture; reliability; availability; scalability; containerized deployment</x:t>
  </x:si>
  <x:si>
    <x:t xml:space="preserve">Deployed on test VM from 8e03f22: four healthy containers, direct/proxied/public HTTP 200, protected 401, admin/doctor/patient login, authenticated container-to-Fabric query, and basic 1.0.9 sequence 11 verification; marker PHASE11_CONTAINER_FABRIC_SMOKE_OK.</x:t>
  </x:si>
  <x:si>
    <x:t xml:space="preserve">Accepted Fabric test topology is not SRS production HA; two peers per organization, at least three Raft orderers, failover, production profiles, and automated identity lifecycle remain.</x:t>
  </x:si>
  <x:si>
    <x:t xml:space="preserve">P12-TEST-EVIDENCE</x:t>
  </x:si>
  <x:si>
    <x:t xml:space="preserve">Final test and SRS evidence package</x:t>
  </x:si>
  <x:si>
    <x:t xml:space="preserve">SRS Section 8 requires traceable functional, security, performance, deployment and usability evidence tied to a revision and runtime.</x:t>
  </x:si>
  <x:si>
    <x:t xml:space="preserve">Evidence was distributed across phases and performance/latest browser closure was initially incomplete.</x:t>
  </x:si>
  <x:si>
    <x:t xml:space="preserve">FR-01..FR-31; SEC-01..SEC-08; Section 8; performance; deployment</x:t>
  </x:si>
  <x:si>
    <x:t xml:space="preserve">Final package at 23efacb: 74/74 package tests, standard chaincode 18/18, fresh Playwright 27/27, real DICOM, 15/15 Caliper rounds, 1,133 successes/0 failures, and four healthy containers.</x:t>
  </x:si>
  <x:si>
    <x:t xml:space="preserve">Only accepted test topology, mobile Compose boundary, and deployment traceability deviations remain.</x:t>
  </x:si>
  <x:si>
    <x:t xml:space="preserve">P12-FR29-31-WEB</x:t>
  </x:si>
  <x:si>
    <x:t xml:space="preserve">A patient who can sign in on the web must be able to view their scoped appointments there.</x:t>
  </x:si>
  <x:si>
    <x:t xml:space="preserve">The API supported patient scoping, but the web route denied patient access and navigation omitted Appointments.</x:t>
  </x:si>
  <x:si>
    <x:t xml:space="preserve">Deployed adf611b: patient route/navigation, upcoming and past/cancelled groupings, read-only controls, live Patient1 evidence.</x:t>
  </x:si>
  <x:si>
    <x:t xml:space="preserve">No remaining patient web appointment gap.</x:t>
  </x:si>
  <x:si>
    <x:t xml:space="preserve">P12-CLOSURE</x:t>
  </x:si>
  <x:si>
    <x:t xml:space="preserve">Phase 12 zero-failure closure</x:t>
  </x:si>
  <x:si>
    <x:t xml:space="preserve">All final verification gates must execute without Failed or Blocked evidence.</x:t>
  </x:si>
  <x:si>
    <x:t xml:space="preserve">Standard chaincode, Caliper, latest browser, real DICOM and mobile overflow were open.</x:t>
  </x:si>
  <x:si>
    <x:t xml:space="preserve">FR-01-FR-31; SEC-01-SEC-08; NFR-PERF; WCAG 2.1 AA</x:t>
  </x:si>
  <x:si>
    <x:t xml:space="preserve">70 Pass, 0 Fail, 0 Blocked, 5 Accepted-Deviation rows; full logs/reports/screenshots retained.</x:t>
  </x:si>
  <x:si>
    <x:t xml:space="preserve">P10-UI-WCAG</x:t>
  </x:si>
  <x:si>
    <x:t xml:space="preserve">Phase 10 usability, accessibility and production UI hardening</x:t>
  </x:si>
  <x:si>
    <x:t xml:space="preserve">The SRS requires core role workflows to be usable, responsive and semantically accessible rather than merely source-complete.</x:t>
  </x:si>
  <x:si>
    <x:t xml:space="preserve">Static personal/account content, incomplete session/route recovery, weak control semantics/focus treatment, patient/DICOM production inconsistencies and browser findings remained after Phase 9.</x:t>
  </x:si>
  <x:si>
    <x:t xml:space="preserve">Section 6.5 usability; WCAG 2.1 AA; FR-03; FR-04; FR-05-FR-20</x:t>
  </x:si>
  <x:si>
    <x:t xml:space="preserve">Source remediation committed in 52cbd7f, production hardening in f37ae85/b0e46f4, deployed after two backups; final Phase 12 Playwright 27/27 and real DICOM evidence closed the browser findings.</x:t>
  </x:si>
  <x:si>
    <x:t xml:space="preserve">Packaged mobile-device interaction evidence remains a separate client handover item if required.</x:t>
  </x:si>
  <x:si>
    <x:t xml:space="preserve">Evidence-based distinction between corrections to existing behavior and development performed to close SRS gaps.</x:t>
  </x:si>
  <x:si>
    <x:t xml:space="preserve">Definition</x:t>
  </x:si>
  <x:si>
    <x:t xml:space="preserve">Corrects behavior/configuration that existed but was defective, unsafe, inconsistent, or non-operational.</x:t>
  </x:si>
  <x:si>
    <x:t xml:space="preserve">Adds a required SRS capability or security control that did not exist in the baseline.</x:t>
  </x:si>
  <x:si>
    <x:t xml:space="preserve">Repairs an existing path while materially extending it for an SRS-compliant workflow.</x:t>
  </x:si>
  <x:si>
    <x:t xml:space="preserve">Tests, documentation, migrations, or deployment evidence; not independently end-user functionality.</x:t>
  </x:si>
  <x:si>
    <x:t xml:space="preserve">Phase</x:t>
  </x:si>
  <x:si>
    <x:t xml:space="preserve">Total</x:t>
  </x:si>
  <x:si>
    <x:t xml:space="preserve">Interpretation Notes</x:t>
  </x:si>
  <x:si>
    <x:t xml:space="preserve">1. Classification is based on baseline behavior and SRS obligation, not the filename or component where the change was made.</x:t>
  </x:si>
  <x:si>
    <x:t xml:space="preserve">2. Security controls absent from the baseline are SRS gap development even when they also correct unsafe behavior.</x:t>
  </x:si>
  <x:si>
    <x:t xml:space="preserve">3. Runtime corrections such as wrong ports, crashes, bad type handling, and integration failures are classified as bug fixes.</x:t>
  </x:si>
  <x:si>
    <x:t xml:space="preserve">4. Documentation, tests, migrations, and deployment evidence are tracked separately so they do not inflate feature-development counts.</x:t>
  </x:si>
</x:sst>
</file>

<file path=xl/styles.xml><?xml version="1.0" encoding="utf-8"?>
<x:styleSheet xmlns:x="http://schemas.openxmlformats.org/spreadsheetml/2006/main">
  <x:numFmts count="1">
    <x:numFmt numFmtId="164" formatCode="m/d/yy"/>
  </x:numFmts>
  <x:fonts count="32">
    <x:font>
      <x:sz val="11"/>
      <x:color theme="1"/>
      <x:name val="Aptos Narrow"/>
    </x:font>
    <x:font>
      <x:b/>
      <x:sz val="11"/>
      <x:color theme="1"/>
      <x:name val="Aptos Narrow"/>
    </x:font>
    <x:font>
      <x:b/>
      <x:sz val="11"/>
      <x:color rgb="FFFFFFFF"/>
      <x:name val="Aptos Narrow"/>
    </x:font>
    <x:font>
      <x:sz val="10"/>
      <x:color theme="1"/>
      <x:name val="Aptos Narrow"/>
    </x:font>
    <x:font>
      <x:b/>
      <x:sz val="11"/>
      <x:color rgb="FF1F4E79"/>
      <x:name val="Aptos Narrow"/>
    </x:font>
    <x:font>
      <x:b/>
      <x:sz val="11"/>
      <x:color rgb="FF375623"/>
      <x:name val="Aptos Narrow"/>
    </x:font>
    <x:font>
      <x:b/>
      <x:sz val="11"/>
      <x:color rgb="FF806000"/>
      <x:name val="Aptos Narrow"/>
    </x:font>
    <x:font>
      <x:b/>
      <x:sz val="11"/>
      <x:color rgb="FF5A2D82"/>
      <x:name val="Aptos Narrow"/>
    </x:font>
    <x:font>
      <x:b/>
      <x:sz val="10"/>
      <x:color theme="1"/>
      <x:name val="Aptos Narrow"/>
    </x:font>
    <x:font>
      <x:b/>
      <x:sz val="20"/>
      <x:color rgb="FFFFFFFF"/>
      <x:name val="Aptos Narrow"/>
    </x:font>
    <x:font>
      <x:i/>
      <x:sz val="10"/>
      <x:color rgb="FFFFFFFF"/>
      <x:name val="Aptos Narrow"/>
    </x:font>
    <x:font>
      <x:b/>
      <x:sz val="11"/>
      <x:color rgb="FF1F3864"/>
      <x:name val="Aptos Narrow"/>
    </x:font>
    <x:font>
      <x:sz val="11"/>
      <x:color theme="1"/>
      <x:name val="Consolas"/>
    </x:font>
    <x:font>
      <x:sz val="9"/>
      <x:color rgb="FF404040"/>
      <x:name val="Aptos Narrow"/>
    </x:font>
    <x:font>
      <x:b/>
      <x:sz val="13"/>
      <x:color rgb="FF1F3864"/>
      <x:name val="Aptos Narrow"/>
    </x:font>
    <x:font>
      <x:b/>
      <x:sz val="10"/>
      <x:color rgb="FF1F4E79"/>
      <x:name val="Aptos Narrow"/>
    </x:font>
    <x:font>
      <x:b/>
      <x:sz val="10"/>
      <x:color rgb="FFFFFFFF"/>
      <x:name val="Aptos Narrow"/>
    </x:font>
    <x:font>
      <x:b/>
      <x:sz val="10"/>
      <x:color rgb="FF1F3A5F"/>
      <x:name val="Aptos Narrow"/>
    </x:font>
    <x:font>
      <x:b/>
      <x:sz val="10"/>
      <x:color rgb="FF000000"/>
      <x:name val="Aptos Narrow"/>
    </x:font>
    <x:font>
      <x:b/>
      <x:sz val="11"/>
      <x:color rgb="FF843C0C"/>
      <x:name val="Aptos Narrow"/>
    </x:font>
    <x:font>
      <x:b/>
      <x:sz val="11"/>
      <x:color rgb="FF5A4A82"/>
      <x:name val="Aptos Narrow"/>
    </x:font>
    <x:font>
      <x:b/>
      <x:sz val="11"/>
      <x:color rgb="FF215868"/>
      <x:name val="Aptos Narrow"/>
    </x:font>
    <x:font>
      <x:b/>
      <x:sz val="16"/>
      <x:color rgb="FFFFFFFF"/>
      <x:name val="Aptos Narrow"/>
    </x:font>
    <x:font>
      <x:i/>
      <x:sz val="11"/>
      <x:color rgb="FF334155"/>
      <x:name val="Aptos Narrow"/>
    </x:font>
    <x:font>
      <x:b/>
      <x:sz val="11"/>
      <x:color rgb="FF953735"/>
      <x:name val="Aptos Narrow"/>
    </x:font>
    <x:font>
      <x:sz val="10"/>
      <x:color theme="1"/>
      <x:name val="Aptos Narrow"/>
    </x:font>
    <x:font>
      <x:b/>
      <x:sz val="10"/>
      <x:color rgb="FF000000"/>
      <x:name val="Aptos Narrow"/>
    </x:font>
    <x:font>
      <x:sz val="10"/>
      <x:color theme="1"/>
      <x:name val="Aptos Narrow"/>
    </x:font>
    <x:font>
      <x:b/>
      <x:sz val="10"/>
      <x:color theme="1"/>
      <x:name val="Aptos Narrow"/>
    </x:font>
    <x:font>
      <x:sz val="11"/>
      <x:color rgb="FF000000"/>
      <x:name val="Aptos Narrow"/>
    </x:font>
    <x:font>
      <x:b/>
      <x:sz val="10"/>
      <x:name val="Aptos Narrow"/>
    </x:font>
    <x:font>
      <x:sz val="16"/>
      <x:color rgb="FF000000"/>
      <x:name val="Aptos Narrow"/>
    </x:font>
  </x:fonts>
  <x:fills count="24">
    <x:fill>
      <x:patternFill patternType="none"/>
    </x:fill>
    <x:fill>
      <x:patternFill patternType="gray125"/>
    </x:fill>
    <x:fill>
      <x:patternFill patternType="solid">
        <x:fgColor rgb="FF1F3864"/>
      </x:patternFill>
    </x:fill>
    <x:fill>
      <x:patternFill patternType="solid">
        <x:fgColor rgb="FFDDEBF7"/>
      </x:patternFill>
    </x:fill>
    <x:fill>
      <x:patternFill patternType="solid">
        <x:fgColor rgb="FFE2EFDA"/>
      </x:patternFill>
    </x:fill>
    <x:fill>
      <x:patternFill patternType="solid">
        <x:fgColor rgb="FFFFF2CC"/>
      </x:patternFill>
    </x:fill>
    <x:fill>
      <x:patternFill patternType="solid">
        <x:fgColor rgb="FFEAD1F0"/>
      </x:patternFill>
    </x:fill>
    <x:fill>
      <x:patternFill patternType="solid">
        <x:fgColor rgb="FF2E5496"/>
      </x:patternFill>
    </x:fill>
    <x:fill>
      <x:patternFill patternType="solid">
        <x:fgColor rgb="FFF2F2F2"/>
      </x:patternFill>
    </x:fill>
    <x:fill>
      <x:patternFill patternType="solid">
        <x:fgColor rgb="FFD9E1F2"/>
      </x:patternFill>
    </x:fill>
    <x:fill>
      <x:patternFill patternType="solid">
        <x:fgColor rgb="FF1F3A5F"/>
      </x:patternFill>
    </x:fill>
    <x:fill>
      <x:patternFill patternType="solid">
        <x:fgColor rgb="FFE8EDF4"/>
      </x:patternFill>
    </x:fill>
    <x:fill>
      <x:patternFill patternType="solid">
        <x:fgColor rgb="FF1F3864"/>
      </x:patternFill>
    </x:fill>
    <x:fill>
      <x:patternFill patternType="solid">
        <x:fgColor rgb="FF375623"/>
      </x:patternFill>
    </x:fill>
    <x:fill>
      <x:patternFill patternType="solid">
        <x:fgColor rgb="FF833C00"/>
      </x:patternFill>
    </x:fill>
    <x:fill>
      <x:patternFill patternType="solid">
        <x:fgColor rgb="FFFCE4D6"/>
      </x:patternFill>
    </x:fill>
    <x:fill>
      <x:patternFill patternType="solid">
        <x:fgColor rgb="FFE1DFEC"/>
      </x:patternFill>
    </x:fill>
    <x:fill>
      <x:patternFill patternType="solid">
        <x:fgColor rgb="FFDAEEF3"/>
      </x:patternFill>
    </x:fill>
    <x:fill>
      <x:patternFill patternType="solid">
        <x:fgColor rgb="FF0B1F3A"/>
      </x:patternFill>
    </x:fill>
    <x:fill>
      <x:patternFill patternType="solid">
        <x:fgColor rgb="FFDCE6F1"/>
      </x:patternFill>
    </x:fill>
    <x:fill>
      <x:patternFill patternType="solid">
        <x:fgColor rgb="FF17365D"/>
      </x:patternFill>
    </x:fill>
    <x:fill>
      <x:patternFill patternType="solid">
        <x:fgColor rgb="FFF2DCDB"/>
      </x:patternFill>
    </x:fill>
    <x:fill>
      <x:patternFill patternType="solid">
        <x:fgColor rgb="FFFFFFFF"/>
      </x:patternFill>
    </x:fill>
    <x:fill>
      <x:patternFill patternType="solid">
        <x:fgColor rgb="FFFFFFFF"/>
      </x:patternFill>
    </x:fill>
  </x:fills>
  <x:borders count="25">
    <x:border/>
    <x:border>
      <x:bottom style="thin">
        <x:color rgb="FFD9D9D9"/>
      </x:bottom>
    </x:border>
    <x:border>
      <x:top style="thin">
        <x:color rgb="FFD9D9D9"/>
      </x:top>
      <x:bottom style="thin">
        <x:color rgb="FFD9D9D9"/>
      </x:bottom>
    </x:border>
    <x:border>
      <x:top style="thin">
        <x:color rgb="FFD9D9D9"/>
      </x:top>
    </x:border>
    <x:border>
      <x:top style="thin">
        <x:color rgb="FFD9D9D9"/>
      </x:top>
      <x:bottom style="thin">
        <x:color rgb="FFBFBFBF"/>
      </x:bottom>
    </x:border>
    <x:border>
      <x:left style="thin">
        <x:color rgb="FFD9D9D9"/>
      </x:left>
      <x:right style="thin">
        <x:color rgb="FFD9D9D9"/>
      </x:right>
      <x:top style="thin">
        <x:color rgb="FFD9D9D9"/>
      </x:top>
      <x:bottom style="thin">
        <x:color rgb="FFD9D9D9"/>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left style="thin">
        <x:color rgb="FFA6A6A6"/>
      </x:left>
      <x:right style="thin">
        <x:color rgb="FFA6A6A6"/>
      </x:right>
      <x:top style="thin">
        <x:color rgb="FFA6A6A6"/>
      </x:top>
      <x:bottom style="thin">
        <x:color rgb="FFA6A6A6"/>
      </x:bottom>
    </x:border>
    <x:border>
      <x:right style="thin">
        <x:color rgb="FFA6A6A6"/>
      </x:right>
      <x:bottom style="thin">
        <x:color rgb="FFA6A6A6"/>
      </x:bottom>
    </x:border>
    <x:border>
      <x:left style="thin">
        <x:color rgb="FFA6A6A6"/>
      </x:left>
      <x:right style="thin">
        <x:color rgb="FFA6A6A6"/>
      </x:right>
      <x:bottom style="thin">
        <x:color rgb="FFA6A6A6"/>
      </x:bottom>
    </x:border>
    <x:border>
      <x:left style="thin">
        <x:color rgb="FFA6A6A6"/>
      </x:left>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rder>
    <x:border>
      <x:left style="thin">
        <x:color rgb="FFA6A6A6"/>
      </x:left>
      <x:right style="thin">
        <x:color rgb="FFA6A6A6"/>
      </x:right>
      <x:top style="thin">
        <x:color rgb="FFA6A6A6"/>
      </x:top>
    </x:border>
    <x:border>
      <x:left style="thin">
        <x:color rgb="FFA6A6A6"/>
      </x:left>
      <x:top style="thin">
        <x:color rgb="FFA6A6A6"/>
      </x:top>
    </x:border>
    <x:border>
      <x:left style="thin">
        <x:color rgb="FFD6E0F0"/>
      </x:left>
      <x:right style="thin">
        <x:color rgb="FFD6E0F0"/>
      </x:right>
      <x:top style="thin">
        <x:color rgb="FFD6E0F0"/>
      </x:top>
      <x:bottom style="thin">
        <x:color rgb="FFD6E0F0"/>
      </x:bottom>
    </x:border>
  </x:borders>
  <x:cellStyleXfs count="1">
    <x:xf numFmtId="0" fontId="0" fillId="0" borderId="0"/>
  </x:cellStyleXfs>
  <x:cellXfs count="95">
    <x:xf numFmtId="0" fontId="0" fillId="0" borderId="0" xfId="0"/>
    <x:xf numFmtId="0" fontId="16" fillId="10" borderId="5" xfId="0" applyFont="1" applyFill="1" applyBorder="1" applyAlignment="1">
      <x:alignment vertical="center" wrapText="1"/>
    </x:xf>
    <x:xf numFmtId="0" fontId="16" fillId="14" borderId="0" xfId="0" applyFont="1" applyFill="1" applyAlignment="1">
      <x:alignment vertical="center" wrapText="1"/>
    </x:xf>
    <x:xf numFmtId="0" fontId="0" fillId="0" borderId="0" xfId="0" applyAlignment="1">
      <x:alignment vertical="center"/>
    </x:xf>
    <x:xf numFmtId="0" fontId="3" fillId="0" borderId="0" xfId="0" applyFont="1" applyAlignment="1">
      <x:alignment vertical="center" wrapText="1"/>
    </x:xf>
    <x:xf numFmtId="0" fontId="3" fillId="0" borderId="0" xfId="0" applyFont="1" applyAlignment="1">
      <x:alignment horizontal="center" vertical="center" wrapText="1"/>
    </x:xf>
    <x:xf numFmtId="0" fontId="0" fillId="0" borderId="0" xfId="0" applyAlignment="1">
      <x:alignment horizontal="center" vertical="center"/>
    </x:xf>
    <x:xf numFmtId="0" fontId="16" fillId="13" borderId="0" xfId="0" applyFont="1" applyFill="1" applyAlignment="1">
      <x:alignment horizontal="left" vertical="center" wrapText="1"/>
    </x:xf>
    <x:xf numFmtId="0" fontId="0" fillId="0" borderId="0" xfId="0" applyAlignment="1">
      <x:alignment horizontal="left" vertical="center"/>
    </x:xf>
    <x:xf numFmtId="0" fontId="8" fillId="0" borderId="0" xfId="0" applyFont="1" applyAlignment="1">
      <x:alignment vertical="center" wrapText="1"/>
    </x:xf>
    <x:xf numFmtId="0" fontId="3" fillId="0" borderId="5" xfId="0" applyFont="1" applyBorder="1" applyAlignment="1">
      <x:alignment vertical="center" wrapText="1"/>
    </x:xf>
    <x:xf numFmtId="0" fontId="3" fillId="0" borderId="5" xfId="0" applyFont="1" applyBorder="1" applyAlignment="1">
      <x:alignment horizontal="center" vertical="center" wrapText="1"/>
    </x:xf>
    <x:xf numFmtId="0" fontId="16" fillId="10" borderId="5" xfId="0" applyFont="1" applyFill="1" applyBorder="1" applyAlignment="1">
      <x:alignment horizontal="left" vertical="center" wrapText="1"/>
    </x:xf>
    <x:xf numFmtId="0" fontId="0" fillId="0" borderId="0" xfId="0" applyAlignment="1">
      <x:alignment vertical="center" wrapText="1"/>
    </x:xf>
    <x:xf numFmtId="0" fontId="0" fillId="0" borderId="6" xfId="0" applyBorder="1" applyAlignment="1">
      <x:alignment vertical="center" wrapText="1"/>
    </x:xf>
    <x:xf numFmtId="0" fontId="0" fillId="0" borderId="8" xfId="0" applyBorder="1" applyAlignment="1">
      <x:alignment vertical="center" wrapText="1"/>
    </x:xf>
    <x:xf numFmtId="0" fontId="0" fillId="0" borderId="9" xfId="0" applyBorder="1" applyAlignment="1">
      <x:alignment vertical="center" wrapText="1"/>
    </x:xf>
    <x:xf numFmtId="0" fontId="0" fillId="0" borderId="11" xfId="0" applyBorder="1" applyAlignment="1">
      <x:alignment vertical="center" wrapText="1"/>
    </x:xf>
    <x:xf numFmtId="0" fontId="0" fillId="0" borderId="12" xfId="0" applyBorder="1" applyAlignment="1">
      <x:alignment vertical="center" wrapText="1"/>
    </x:xf>
    <x:xf numFmtId="0" fontId="0" fillId="0" borderId="14" xfId="0" applyBorder="1" applyAlignment="1">
      <x:alignment vertical="center" wrapText="1"/>
    </x:xf>
    <x:xf numFmtId="1" fontId="0" fillId="0" borderId="7" xfId="0" applyNumberFormat="1" applyBorder="1" applyAlignment="1">
      <x:alignment horizontal="center" vertical="center" wrapText="1"/>
    </x:xf>
    <x:xf numFmtId="1" fontId="0" fillId="0" borderId="10" xfId="0" applyNumberFormat="1" applyBorder="1" applyAlignment="1">
      <x:alignment horizontal="center" vertical="center" wrapText="1"/>
    </x:xf>
    <x:xf numFmtId="1" fontId="0" fillId="0" borderId="13" xfId="0" applyNumberFormat="1" applyBorder="1" applyAlignment="1">
      <x:alignment horizontal="center" vertical="center" wrapText="1"/>
    </x:xf>
    <x:xf numFmtId="1" fontId="0" fillId="0" borderId="8" xfId="0" applyNumberFormat="1" applyBorder="1" applyAlignment="1">
      <x:alignment horizontal="center" vertical="center" wrapText="1"/>
    </x:xf>
    <x:xf numFmtId="1" fontId="0" fillId="0" borderId="11" xfId="0" applyNumberFormat="1" applyBorder="1" applyAlignment="1">
      <x:alignment horizontal="center" vertical="center" wrapText="1"/>
    </x:xf>
    <x:xf numFmtId="0" fontId="17" fillId="11" borderId="5" xfId="0" applyFont="1" applyFill="1" applyBorder="1" applyAlignment="1">
      <x:alignment horizontal="center" vertical="center" wrapText="1"/>
    </x:xf>
    <x:xf numFmtId="0" fontId="2" fillId="20" borderId="0" xfId="0" applyFont="1" applyFill="1" applyAlignment="1">
      <x:alignment horizontal="center" vertical="center" wrapText="1"/>
    </x:xf>
    <x:xf numFmtId="0" fontId="16" fillId="12" borderId="16" xfId="0" applyFont="1" applyFill="1" applyBorder="1" applyAlignment="1">
      <x:alignment vertical="center" wrapText="1"/>
    </x:xf>
    <x:xf numFmtId="0" fontId="16" fillId="12" borderId="17" xfId="0" applyFont="1" applyFill="1" applyBorder="1" applyAlignment="1">
      <x:alignment vertical="center" wrapText="1"/>
    </x:xf>
    <x:xf numFmtId="0" fontId="16" fillId="12" borderId="18" xfId="0" applyFont="1" applyFill="1" applyBorder="1" applyAlignment="1">
      <x:alignment vertical="center" wrapText="1"/>
    </x:xf>
    <x:xf numFmtId="0" fontId="3" fillId="0" borderId="19" xfId="0" applyFont="1" applyBorder="1" applyAlignment="1">
      <x:alignment vertical="center" wrapText="1"/>
    </x:xf>
    <x:xf numFmtId="0" fontId="3" fillId="0" borderId="15" xfId="0" applyFont="1" applyBorder="1" applyAlignment="1">
      <x:alignment vertical="center" wrapText="1"/>
    </x:xf>
    <x:xf numFmtId="0" fontId="18" fillId="0" borderId="20" xfId="0" applyFont="1" applyBorder="1" applyAlignment="1">
      <x:alignment horizontal="center" vertical="center" wrapText="1"/>
    </x:xf>
    <x:xf numFmtId="0" fontId="3" fillId="0" borderId="22" xfId="0" applyFont="1" applyBorder="1" applyAlignment="1">
      <x:alignment vertical="center" wrapText="1"/>
    </x:xf>
    <x:xf numFmtId="0" fontId="17" fillId="0" borderId="19" xfId="0" applyFont="1" applyBorder="1" applyAlignment="1">
      <x:alignment horizontal="center" vertical="center" wrapText="1"/>
    </x:xf>
    <x:xf numFmtId="0" fontId="15" fillId="0" borderId="15" xfId="0" applyFont="1" applyBorder="1" applyAlignment="1">
      <x:alignment horizontal="center" vertical="center" wrapText="1"/>
    </x:xf>
    <x:xf numFmtId="0" fontId="3" fillId="0" borderId="15" xfId="0" applyFont="1" applyBorder="1" applyAlignment="1">
      <x:alignment horizontal="left" vertical="center" wrapText="1"/>
    </x:xf>
    <x:xf numFmtId="0" fontId="3" fillId="0" borderId="20" xfId="0" applyFont="1" applyBorder="1" applyAlignment="1">
      <x:alignment vertical="center" wrapText="1"/>
    </x:xf>
    <x:xf numFmtId="16" fontId="3" fillId="0" borderId="15" xfId="0" applyNumberFormat="1" applyFont="1" applyBorder="1" applyAlignment="1">
      <x:alignment horizontal="left" vertical="center" wrapText="1"/>
    </x:xf>
    <x:xf numFmtId="17" fontId="3" fillId="0" borderId="15" xfId="0" applyNumberFormat="1" applyFont="1" applyBorder="1" applyAlignment="1">
      <x:alignment horizontal="left" vertical="center" wrapText="1"/>
    </x:xf>
    <x:xf numFmtId="0" fontId="17" fillId="0" borderId="21" xfId="0" applyFont="1" applyBorder="1" applyAlignment="1">
      <x:alignment horizontal="center" vertical="center" wrapText="1"/>
    </x:xf>
    <x:xf numFmtId="0" fontId="15" fillId="0" borderId="22" xfId="0" applyFont="1" applyBorder="1" applyAlignment="1">
      <x:alignment horizontal="center" vertical="center" wrapText="1"/>
    </x:xf>
    <x:xf numFmtId="0" fontId="3" fillId="0" borderId="23" xfId="0" applyFont="1" applyBorder="1" applyAlignment="1">
      <x:alignment vertical="center" wrapText="1"/>
    </x:xf>
    <x:xf numFmtId="0" fontId="25" fillId="0" borderId="19" xfId="0" applyFont="1" applyBorder="1"/>
    <x:xf numFmtId="0" fontId="25" fillId="0" borderId="15" xfId="0" applyFont="1" applyBorder="1"/>
    <x:xf numFmtId="0" fontId="25" fillId="0" borderId="21" xfId="0" applyFont="1" applyBorder="1"/>
    <x:xf numFmtId="0" fontId="25" fillId="0" borderId="22" xfId="0" applyFont="1" applyBorder="1"/>
    <x:xf numFmtId="0" fontId="26" fillId="0" borderId="20" xfId="0" applyFont="1" applyBorder="1" applyAlignment="1">
      <x:alignment horizontal="center"/>
    </x:xf>
    <x:xf numFmtId="0" fontId="25" fillId="0" borderId="15" xfId="0" applyFont="1" applyBorder="1" applyAlignment="1">
      <x:alignment vertical="center" wrapText="1"/>
    </x:xf>
    <x:xf numFmtId="0" fontId="25" fillId="0" borderId="20" xfId="0" applyFont="1" applyBorder="1" applyAlignment="1">
      <x:alignment vertical="center" wrapText="1"/>
    </x:xf>
    <x:xf numFmtId="0" fontId="25" fillId="0" borderId="22" xfId="0" applyFont="1" applyBorder="1" applyAlignment="1">
      <x:alignment vertical="center" wrapText="1"/>
    </x:xf>
    <x:xf numFmtId="0" fontId="25" fillId="0" borderId="23" xfId="0" applyFont="1" applyBorder="1" applyAlignment="1">
      <x:alignment vertical="center" wrapText="1"/>
    </x:xf>
    <x:xf numFmtId="0" fontId="27" fillId="0" borderId="0" xfId="0" applyFont="1"/>
    <x:xf numFmtId="0" fontId="28" fillId="0" borderId="0" xfId="0" applyFont="1"/>
    <x:xf numFmtId="0" fontId="11" fillId="0" borderId="0" xfId="0" applyFont="1" applyAlignment="1">
      <x:alignment vertical="center"/>
    </x:xf>
    <x:xf numFmtId="164" fontId="0" fillId="0" borderId="0" xfId="0" applyNumberFormat="1" applyAlignment="1">
      <x:alignment horizontal="left" vertical="center"/>
    </x:xf>
    <x:xf numFmtId="0" fontId="12" fillId="0" borderId="0" xfId="0" applyFont="1" applyAlignment="1">
      <x:alignment vertical="center"/>
    </x:xf>
    <x:xf numFmtId="0" fontId="14" fillId="0" borderId="0" xfId="0" applyFont="1" applyAlignment="1">
      <x:alignment vertical="center"/>
    </x:xf>
    <x:xf numFmtId="0" fontId="2" fillId="2" borderId="1" xfId="0" applyFont="1" applyFill="1" applyBorder="1" applyAlignment="1">
      <x:alignment vertical="center"/>
    </x:xf>
    <x:xf numFmtId="0" fontId="4" fillId="3" borderId="2" xfId="0" applyFont="1" applyFill="1" applyBorder="1" applyAlignment="1">
      <x:alignment vertical="center"/>
    </x:xf>
    <x:xf numFmtId="0" fontId="0" fillId="0" borderId="2" xfId="0" applyBorder="1" applyAlignment="1">
      <x:alignment horizontal="center" vertical="center"/>
    </x:xf>
    <x:xf numFmtId="0" fontId="5" fillId="4" borderId="2" xfId="0" applyFont="1" applyFill="1" applyBorder="1" applyAlignment="1">
      <x:alignment vertical="center"/>
    </x:xf>
    <x:xf numFmtId="0" fontId="6" fillId="5" borderId="2" xfId="0" applyFont="1" applyFill="1" applyBorder="1" applyAlignment="1">
      <x:alignment vertical="center"/>
    </x:xf>
    <x:xf numFmtId="0" fontId="7" fillId="6" borderId="2" xfId="0" applyFont="1" applyFill="1" applyBorder="1" applyAlignment="1">
      <x:alignment vertical="center"/>
    </x:xf>
    <x:xf numFmtId="0" fontId="20" fillId="16" borderId="3" xfId="0" applyFont="1" applyFill="1" applyBorder="1" applyAlignment="1">
      <x:alignment vertical="center"/>
    </x:xf>
    <x:xf numFmtId="0" fontId="0" fillId="0" borderId="3" xfId="0" applyBorder="1" applyAlignment="1">
      <x:alignment horizontal="center" vertical="center"/>
    </x:xf>
    <x:xf numFmtId="0" fontId="21" fillId="17" borderId="3" xfId="0" applyFont="1" applyFill="1" applyBorder="1" applyAlignment="1">
      <x:alignment vertical="center"/>
    </x:xf>
    <x:xf numFmtId="0" fontId="19" fillId="15" borderId="3" xfId="0" applyFont="1" applyFill="1" applyBorder="1" applyAlignment="1">
      <x:alignment vertical="center"/>
    </x:xf>
    <x:xf numFmtId="0" fontId="24" fillId="21" borderId="3" xfId="0" applyFont="1" applyFill="1" applyBorder="1" applyAlignment="1">
      <x:alignment vertical="center"/>
    </x:xf>
    <x:xf numFmtId="0" fontId="1" fillId="9" borderId="4" xfId="0" applyFont="1" applyFill="1" applyBorder="1" applyAlignment="1">
      <x:alignment vertical="center"/>
    </x:xf>
    <x:xf numFmtId="0" fontId="1" fillId="9" borderId="4" xfId="0" applyFont="1" applyFill="1" applyBorder="1" applyAlignment="1">
      <x:alignment horizontal="center" vertical="center"/>
    </x:xf>
    <x:xf numFmtId="0" fontId="14" fillId="0" borderId="2" xfId="0" applyFont="1" applyBorder="1" applyAlignment="1">
      <x:alignment vertical="center"/>
    </x:xf>
    <x:xf numFmtId="0" fontId="0" fillId="0" borderId="2" xfId="0" applyBorder="1" applyAlignment="1">
      <x:alignment vertical="center"/>
    </x:xf>
    <x:xf numFmtId="0" fontId="0" fillId="0" borderId="3" xfId="0" applyBorder="1" applyAlignment="1">
      <x:alignment vertical="center"/>
    </x:xf>
    <x:xf numFmtId="0" fontId="25" fillId="0" borderId="0" xfId="0" applyFont="1"/>
    <x:xf numFmtId="0" fontId="26" fillId="0" borderId="23" xfId="0" applyFont="1" applyBorder="1" applyAlignment="1">
      <x:alignment horizontal="center"/>
    </x:xf>
    <x:xf numFmtId="0" fontId="26" fillId="0" borderId="0" xfId="0" applyFont="1" applyAlignment="1">
      <x:alignment horizontal="center"/>
    </x:xf>
    <x:xf numFmtId="0" fontId="22" fillId="18" borderId="0" xfId="0" applyFont="1" applyFill="1" applyAlignment="1">
      <x:alignment horizontal="left" vertical="center" wrapText="1"/>
    </x:xf>
    <x:xf numFmtId="0" fontId="29" fillId="22" borderId="0" xfId="0" applyFont="1" applyFill="1" applyAlignment="1">
      <x:alignment horizontal="left" vertical="center"/>
    </x:xf>
    <x:xf numFmtId="0" fontId="29" fillId="22" borderId="0" xfId="0" applyFont="1" applyFill="1" applyAlignment="1">
      <x:alignment horizontal="center" vertical="center"/>
    </x:xf>
    <x:xf numFmtId="0" fontId="9" fillId="2" borderId="0" xfId="0" applyFont="1" applyFill="1" applyAlignment="1">
      <x:alignment horizontal="left" vertical="center"/>
    </x:xf>
    <x:xf numFmtId="0" fontId="0" fillId="0" borderId="0" xfId="0"/>
    <x:xf numFmtId="0" fontId="10" fillId="7" borderId="0" xfId="0" applyFont="1" applyFill="1" applyAlignment="1">
      <x:alignment vertical="center"/>
    </x:xf>
    <x:xf numFmtId="0" fontId="13" fillId="8" borderId="0" xfId="0" applyFont="1" applyFill="1" applyAlignment="1">
      <x:alignment vertical="center" wrapText="1"/>
    </x:xf>
    <x:xf numFmtId="0" fontId="0" fillId="0" borderId="0" xfId="0" applyAlignment="1">
      <x:alignment vertical="center"/>
    </x:xf>
    <x:xf numFmtId="0" fontId="0" fillId="0" borderId="0" xfId="0" applyAlignment="1">
      <x:alignment vertical="center" wrapText="1"/>
    </x:xf>
    <x:xf numFmtId="0" fontId="22" fillId="18" borderId="0" xfId="0" applyFont="1" applyFill="1" applyAlignment="1">
      <x:alignment horizontal="center" vertical="center" wrapText="1"/>
    </x:xf>
    <x:xf numFmtId="0" fontId="23" fillId="19" borderId="0" xfId="0" applyFont="1" applyFill="1" applyAlignment="1">
      <x:alignment horizontal="center" vertical="center" wrapText="1"/>
    </x:xf>
    <x:xf numFmtId="0" fontId="30" fillId="0" borderId="0" xfId="0" applyFont="1" applyAlignment="1">
      <x:alignment vertical="center" wrapText="1"/>
    </x:xf>
    <x:xf numFmtId="164" fontId="0" fillId="0" borderId="0" xfId="0" applyNumberFormat="1" applyFont="1" applyFill="1" applyBorder="1" applyAlignment="1">
      <x:alignment horizontal="left" vertical="center"/>
    </x:xf>
    <x:xf numFmtId="0" fontId="22" fillId="23" borderId="0" xfId="0" applyNumberFormat="1" applyFont="1" applyFill="1" applyBorder="1" applyAlignment="1">
      <x:alignment horizontal="left" vertical="center" wrapText="1"/>
    </x:xf>
    <x:xf numFmtId="0" fontId="31" fillId="23" borderId="0" xfId="0" applyNumberFormat="1" applyFont="1" applyFill="1" applyBorder="1" applyAlignment="1">
      <x:alignment horizontal="left" vertical="center" wrapText="1"/>
    </x:xf>
    <x:xf numFmtId="0" fontId="31" fillId="23" borderId="24" xfId="0" applyNumberFormat="1" applyFont="1" applyFill="1" applyBorder="1" applyAlignment="1">
      <x:alignment horizontal="left" vertical="center" wrapText="1"/>
    </x:xf>
    <x:xf numFmtId="0" fontId="31" fillId="23" borderId="24" xfId="0" applyNumberFormat="1" applyFont="1" applyFill="1" applyBorder="1" applyAlignment="1">
      <x:alignment horizontal="left" vertical="center" wrapText="0"/>
    </x:xf>
    <x:xf numFmtId="0" fontId="31" fillId="23" borderId="24" xfId="0" applyNumberFormat="1" applyFont="1" applyFill="1" applyBorder="1" applyAlignment="1">
      <x:alignment horizontal="center" vertical="center" wrapText="0"/>
    </x:xf>
  </x:cellXfs>
  <x:cellStyles count="1">
    <x:cellStyle name="Normal" xfId="0"/>
  </x:cellStyles>
  <x:dxfs count="21">
    <x:dxf>
      <x:font>
        <x:b/>
        <x:color rgb="FF375623"/>
      </x:font>
    </x:dxf>
    <x:dxf>
      <x:font>
        <x:b/>
        <x:color rgb="FF806000"/>
      </x:font>
    </x:dxf>
    <x:dxf>
      <x:font>
        <x:b/>
        <x:color rgb="FF843C0C"/>
      </x:font>
    </x:dxf>
    <x:dxf>
      <x:font>
        <x:b/>
        <x:color rgb="FF953735"/>
      </x:font>
    </x:dxf>
    <x:dxf>
      <x:font>
        <x:b/>
        <x:color rgb="FF843C0C"/>
      </x:font>
    </x:dxf>
    <x:dxf>
      <x:font>
        <x:b/>
        <x:color rgb="FF215868"/>
      </x:font>
    </x:dxf>
    <x:dxf>
      <x:font>
        <x:b/>
        <x:color rgb="FF5A4A82"/>
      </x:font>
    </x:dxf>
    <x:dxf>
      <x:font>
        <x:b/>
        <x:color rgb="FF5A2D82"/>
      </x:font>
    </x:dxf>
    <x:dxf>
      <x:font>
        <x:b/>
        <x:color rgb="FF806000"/>
      </x:font>
    </x:dxf>
    <x:dxf>
      <x:font>
        <x:b/>
        <x:color rgb="FF375623"/>
      </x:font>
    </x:dxf>
    <x:dxf>
      <x:font>
        <x:b/>
        <x:color rgb="FF1F4E79"/>
      </x:font>
    </x:dxf>
    <x:dxf>
      <x:font>
        <x:sz val="10"/>
        <x:name val="Aptos Narrow"/>
      </x:font>
    </x:dxf>
    <x:dxf>
      <x:border>
        <x:bottom style="thin">
          <x:color rgb="FFA6A6A6"/>
        </x:bottom>
      </x:border>
    </x:dxf>
    <x:dxf>
      <x:font>
        <x:sz val="10"/>
        <x:name val="Aptos Narrow"/>
      </x:font>
    </x:dxf>
    <x:dxf>
      <x:font>
        <x:sz val="10"/>
        <x:name val="Aptos Narrow"/>
      </x:font>
    </x:dxf>
    <x:dxf>
      <x:font>
        <x:sz val="10"/>
        <x:name val="Aptos Narrow"/>
      </x:font>
    </x:dxf>
    <x:dxf>
      <x:font>
        <x:sz val="10"/>
        <x:name val="Aptos Narrow"/>
      </x:font>
    </x:dxf>
    <x:dxf>
      <x:font>
        <x:sz val="10"/>
        <x:name val="Aptos Narrow"/>
      </x:font>
    </x:dxf>
    <x:dxf>
      <x:font>
        <x:sz val="10"/>
        <x:name val="Aptos Narrow"/>
      </x:font>
    </x:dxf>
    <x:dxf>
      <x:font>
        <x:sz val="10"/>
        <x:name val="Aptos Narrow"/>
      </x:font>
      <x:fill>
        <x:patternFill patternType="none"/>
      </x:fill>
    </x:dxf>
    <x:dxf>
      <x:border>
        <x:bottom style="thin">
          <x:color rgb="FFA6A6A6"/>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3fdea0674cc04fd9" /><Relationship Type="http://schemas.openxmlformats.org/officeDocument/2006/relationships/theme" Target="/xl/theme/theme1.xml" Id="Ra53357f01f91447d" /><Relationship Type="http://schemas.openxmlformats.org/officeDocument/2006/relationships/sharedStrings" Target="/xl/sharedStrings.xml" Id="R481566e39f784447" /><Relationship Type="http://schemas.openxmlformats.org/officeDocument/2006/relationships/worksheet" Target="/xl/worksheets/sheet1.xml" Id="Ra7a01397be2d469e" /><Relationship Type="http://schemas.openxmlformats.org/officeDocument/2006/relationships/worksheet" Target="/xl/worksheets/sheet2.xml" Id="R342136c8a5d54d1a" /><Relationship Type="http://schemas.openxmlformats.org/officeDocument/2006/relationships/worksheet" Target="/xl/worksheets/sheet3.xml" Id="R19df146c73744f65" /><Relationship Type="http://schemas.openxmlformats.org/officeDocument/2006/relationships/worksheet" Target="/xl/worksheets/sheet4.xml" Id="Rf51c91d4e8c94dfa" /><Relationship Type="http://schemas.openxmlformats.org/officeDocument/2006/relationships/worksheet" Target="/xl/worksheets/sheet5.xml" Id="Rffe5269158ad41a8" /><Relationship Type="http://schemas.openxmlformats.org/officeDocument/2006/relationships/worksheet" Target="/xl/worksheets/sheet6.xml" Id="R5a2132ac4858411c" /><Relationship Type="http://schemas.openxmlformats.org/officeDocument/2006/relationships/worksheet" Target="/xl/worksheets/sheet7.xml" Id="Rd7e262d489cf481e" /><Relationship Type="http://schemas.openxmlformats.org/officeDocument/2006/relationships/worksheet" Target="/xl/worksheets/sheet8.xml" Id="R1cb18491d1c44c0f" /></Relationships>
</file>

<file path=xl/drawings/_rels/drawing1.xml.rels>&#65279;<?xml version="1.0" encoding="utf-8"?><Relationships xmlns="http://schemas.openxmlformats.org/package/2006/relationships"><Relationship Type="http://schemas.openxmlformats.org/officeDocument/2006/relationships/chart" Target="/xl/drawings/charts/chart1.xml" Id="R2f389af0ef1f4063" /></Relationships>
</file>

<file path=xl/drawings/charts/chart1.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200" b="1">
                <a:solidFill>
                  <a:schemeClr val="tx1">
                    <a:lumMod val="65000"/>
                    <a:lumOff val="35000"/>
                  </a:schemeClr>
                </a:solidFill>
                <a:latin typeface="+mn-lt"/>
                <a:ea typeface="+mn-lt"/>
                <a:cs typeface="+mn-lt"/>
              </a:rPr>
              <a:t>Changes by Category</a:t>
            </a:r>
          </a:p>
        </c:rich>
      </c:tx>
      <c:txPr>
        <a:bodyPr xmlns:a="http://schemas.openxmlformats.org/drawingml/2006/main" anchorCtr="1"/>
        <a:lstStyle xmlns:a="http://schemas.openxmlformats.org/drawingml/2006/main"/>
        <a:p xmlns:a="http://schemas.openxmlformats.org/drawingml/2006/main">
          <a:pPr>
            <a:defRPr sz="1200" b="1">
              <a:solidFill>
                <a:schemeClr val="tx1">
                  <a:lumMod val="65000"/>
                  <a:lumOff val="35000"/>
                </a:schemeClr>
              </a:solidFill>
              <a:latin typeface="+mn-lt"/>
              <a:ea typeface="+mn-lt"/>
              <a:cs typeface="+mn-lt"/>
            </a:defRPr>
          </a:pPr>
        </a:p>
      </c:txPr>
    </c:title>
    <c:autoTitleDeleted val="0"/>
    <c:plotArea>
      <c:barChart>
        <c:barDir val="col"/>
        <c:grouping val="clustered"/>
        <c:varyColors val="0"/>
        <c:ser>
          <c:idx val="0"/>
          <c:order val="0"/>
          <c:spPr>
            <a:solidFill xmlns:a="http://schemas.openxmlformats.org/drawingml/2006/main">
              <a:srgbClr val="156082"/>
            </a:solidFill>
            <a:ln xmlns:a="http://schemas.openxmlformats.org/drawingml/2006/main">
              <a:noFill/>
            </a:ln>
          </c:spPr>
          <c:dPt>
            <c:idx val="0"/>
            <c:spPr>
              <a:solidFill xmlns:a="http://schemas.openxmlformats.org/drawingml/2006/main">
                <a:srgbClr val="2E75B6"/>
              </a:solidFill>
              <a:ln xmlns:a="http://schemas.openxmlformats.org/drawingml/2006/main">
                <a:noFill/>
              </a:ln>
            </c:spPr>
          </c:dPt>
          <c:dPt>
            <c:idx val="1"/>
            <c:spPr>
              <a:solidFill xmlns:a="http://schemas.openxmlformats.org/drawingml/2006/main">
                <a:srgbClr val="548235"/>
              </a:solidFill>
              <a:ln xmlns:a="http://schemas.openxmlformats.org/drawingml/2006/main">
                <a:noFill/>
              </a:ln>
            </c:spPr>
          </c:dPt>
          <c:dPt>
            <c:idx val="2"/>
            <c:spPr>
              <a:solidFill xmlns:a="http://schemas.openxmlformats.org/drawingml/2006/main">
                <a:srgbClr val="BF8F00"/>
              </a:solidFill>
              <a:ln xmlns:a="http://schemas.openxmlformats.org/drawingml/2006/main">
                <a:noFill/>
              </a:ln>
            </c:spPr>
          </c:dPt>
          <c:dPt>
            <c:idx val="3"/>
            <c:spPr>
              <a:solidFill xmlns:a="http://schemas.openxmlformats.org/drawingml/2006/main">
                <a:srgbClr val="7030A0"/>
              </a:solidFill>
              <a:ln xmlns:a="http://schemas.openxmlformats.org/drawingml/2006/main">
                <a:noFill/>
              </a:ln>
            </c:spPr>
          </c:dPt>
          <c:dLbls>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900" b="0" i="0" u="none">
                    <a:solidFill>
                      <a:schemeClr val="tx1">
                        <a:lumMod val="75000"/>
                        <a:lumOff val="25000"/>
                      </a:schemeClr>
                    </a:solidFill>
                    <a:latin typeface="+mn-lt"/>
                    <a:ea typeface="+mn-lt"/>
                    <a:cs typeface="+mn-lt"/>
                  </a:defRPr>
                </a:pPr>
              </a:p>
            </c:txPr>
            <c:showLegendKey val="0"/>
            <c:showVal val="1"/>
            <c:showCatName val="0"/>
            <c:showSerName val="0"/>
            <c:showPercent val="0"/>
            <c:showBubbleSize val="0"/>
            <c:showLeaderLines val="0"/>
          </c:dLbls>
          <c:cat>
            <c:strRef>
              <c:f>Overview!$B$13:$B$16</c:f>
              <c:strCache>
                <c:ptCount val="4"/>
                <c:pt idx="0">
                  <c:v>Code</c:v>
                </c:pt>
                <c:pt idx="1">
                  <c:v>Configuration</c:v>
                </c:pt>
                <c:pt idx="2">
                  <c:v>Fabric / Docker</c:v>
                </c:pt>
                <c:pt idx="3">
                  <c:v>Documentation</c:v>
                </c:pt>
              </c:strCache>
            </c:strRef>
          </c:cat>
          <c:val>
            <c:numRef>
              <c:f>Overview!$C$13:$C$16</c:f>
              <c:numCache>
                <c:formatCode>General</c:formatCode>
                <c:ptCount val="4"/>
                <c:pt idx="0">
                  <c:v>80</c:v>
                </c:pt>
                <c:pt idx="1">
                  <c:v>19</c:v>
                </c:pt>
                <c:pt idx="2">
                  <c:v>15</c:v>
                </c:pt>
                <c:pt idx="3">
                  <c:v>18</c:v>
                </c:pt>
              </c:numCache>
            </c:numRef>
          </c:val>
        </c:ser>
        <c:dLbls>
          <c:showLegendKey val="0"/>
          <c:showVal val="0"/>
          <c:showCatName val="0"/>
          <c:showSerName val="0"/>
          <c:showPercent val="0"/>
          <c:showBubbleSize val="0"/>
        </c:dLbls>
        <c:gapWidth val="219"/>
        <c:overlap val="-27"/>
        <c:axId val="1473360959"/>
        <c:axId val="1851580015"/>
      </c:barChart>
      <c:catAx>
        <c:axId val="1473360959"/>
        <c:scaling>
          <c:orientation val="minMax"/>
        </c:scaling>
        <c:delete val="0"/>
        <c:axPos val="b"/>
        <c:numFmt formatCode="General" sourceLinked="1"/>
        <c:majorTickMark val="none"/>
        <c:minorTickMark val="none"/>
        <c:tickLblPos val="nextTo"/>
        <c:spPr>
          <a:ln xmlns:a="http://schemas.openxmlformats.org/drawingml/2006/main" w="9525" cmpd="sng">
            <a:solidFill>
              <a:schemeClr val="tx1">
                <a:lumMod val="15000"/>
                <a:lumOff val="85000"/>
              </a:schemeClr>
            </a:solid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1851580015"/>
        <c:crosses val="autoZero"/>
        <c:lblAlgn val="ctr"/>
        <c:lblOffset val="100"/>
        <c:noMultiLvlLbl val="0"/>
      </c:catAx>
      <c:valAx>
        <c:axId val="1851580015"/>
        <c:scaling>
          <c:orientation val="minMax"/>
        </c:scaling>
        <c:delete val="0"/>
        <c:axPos val="l"/>
        <c:majorGridlines>
          <c:spPr>
            <a:ln xmlns:a="http://schemas.openxmlformats.org/drawingml/2006/main" w="9525" cmpd="sng">
              <a:solidFill>
                <a:schemeClr val="tx1">
                  <a:lumMod val="15000"/>
                  <a:lumOff val="85000"/>
                </a:schemeClr>
              </a:solidFill>
            </a:ln>
          </c:spPr>
        </c:majorGridlines>
        <c:numFmt formatCode="General"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1473360959"/>
        <c:crosses val="autoZero"/>
        <c:crossBetween val="between"/>
      </c:valAx>
      <c:spPr>
        <a:noFill xmlns:a="http://schemas.openxmlformats.org/drawingml/2006/main"/>
        <a:ln xmlns:a="http://schemas.openxmlformats.org/drawingml/2006/main">
          <a:noFill/>
        </a:ln>
      </c:spPr>
    </c:plotArea>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drawing1.xml><?xml version="1.0" encoding="utf-8"?>
<xdr:wsDr xmlns:xdr="http://schemas.openxmlformats.org/drawingml/2006/spreadsheetDrawing">
  <xdr:twoCellAnchor>
    <xdr:from>
      <xdr:col>3</xdr:col>
      <xdr:colOff>319272</xdr:colOff>
      <xdr:row>10</xdr:row>
      <xdr:rowOff>207528</xdr:rowOff>
    </xdr:from>
    <xdr:to>
      <xdr:col>8</xdr:col>
      <xdr:colOff>1133421</xdr:colOff>
      <xdr:row>24</xdr:row>
      <xdr:rowOff>180921</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f389af0ef1f4063"/>
        </a:graphicData>
      </a:graphic>
    </xdr:graphicFrame>
    <xdr:clientData/>
  </xdr:twoCellAnchor>
</xdr:wsDr>
</file>

<file path=xl/tables/table1.xml><?xml version="1.0" encoding="utf-8"?>
<x:table xmlns:x="http://schemas.openxmlformats.org/spreadsheetml/2006/main" id="1" name="ChangesTable" displayName="ChangesTable" ref="A1:K161" totalsRowShown="0" dataDxfId="19" headerRowBorderDxfId="20">
  <x:autoFilter ref="A1:K161"/>
  <x:sortState ref="A2:K133">
    <x:sortCondition ref="A2:A133"/>
  </x:sortState>
  <x:tableColumns count="11">
    <x:tableColumn id="1" name="ID"/>
    <x:tableColumn id="2" name="Category"/>
    <x:tableColumn id="3" name="File"/>
    <x:tableColumn id="4" name="Lines Changed"/>
    <x:tableColumn id="5" name="Original Logic / Config"/>
    <x:tableColumn id="6" name="Updated Logic / Config"/>
    <x:tableColumn id="7" name="Reason / Fix"/>
    <x:tableColumn id="8" name="Work Type"/>
    <x:tableColumn id="9" name="Remediation Phase"/>
    <x:tableColumn id="10" name="SRS Requirement / Scope"/>
    <x:tableColumn id="11" name="Classification Basis"/>
  </x:tableColumns>
  <x:tableStyleInfo name="TableStyleLight1" showFirstColumn="0" showLastColumn="0" showRowStripes="1" showColumnStripes="0"/>
</x:table>
</file>

<file path=xl/tables/table2.xml><?xml version="1.0" encoding="utf-8"?>
<x:table xmlns:x="http://schemas.openxmlformats.org/spreadsheetml/2006/main" id="2" name="RuntimeTable" displayName="RuntimeTable" ref="A1:E19" totalsRowShown="0" dataDxfId="18">
  <x:autoFilter ref="A1:E19"/>
  <x:sortState ref="A2:E10">
    <x:sortCondition ref="A2:A10"/>
  </x:sortState>
  <x:tableColumns count="5">
    <x:tableColumn id="1" name="ID" dataDxfId="17"/>
    <x:tableColumn id="2" name="Path" dataDxfId="16"/>
    <x:tableColumn id="3" name="Type" dataDxfId="15"/>
    <x:tableColumn id="4" name="What Changed" dataDxfId="14"/>
    <x:tableColumn id="5" name="Purpose / Note" dataDxfId="13"/>
  </x:tableColumns>
  <x:tableStyleInfo name="TableStyleLight1" showFirstColumn="0" showLastColumn="0" showRowStripes="1" showColumnStripes="0"/>
</x:table>
</file>

<file path=xl/tables/table3.xml><?xml version="1.0" encoding="utf-8"?>
<x:table xmlns:x="http://schemas.openxmlformats.org/spreadsheetml/2006/main" id="3" name="VerificationTable" displayName="VerificationTable" ref="A1:C71" totalsRowShown="0" dataDxfId="11" headerRowBorderDxfId="12">
  <x:autoFilter ref="A1:C71"/>
  <x:sortState ref="A2:C48">
    <x:sortCondition ref="C2:C48"/>
  </x:sortState>
  <x:tableColumns count="3">
    <x:tableColumn id="1" name="Verification Item"/>
    <x:tableColumn id="2" name="Result"/>
    <x:tableColumn id="3" name="Status"/>
  </x:tableColumns>
  <x:tableStyleInfo name="TableStyleLight1" showFirstColumn="0" showLastColumn="0" showRowStripes="1" showColumnStripes="0"/>
</x:table>
</file>

<file path=xl/tables/table4.xml><?xml version="1.0" encoding="utf-8"?>
<x:table xmlns:x="http://schemas.openxmlformats.org/spreadsheetml/2006/main" id="4" name="KnownItemsTable" displayName="KnownItemsTable" ref="A1:B23" totalsRowShown="0">
  <x:autoFilter ref="A1:B23"/>
  <x:sortState ref="A2:B13">
    <x:sortCondition ref="A2:A13"/>
  </x:sortState>
  <x:tableColumns count="2">
    <x:tableColumn id="1" name="Item"/>
    <x:tableColumn id="2" name="Status / Note"/>
  </x:tableColumns>
  <x:tableStyleInfo name="TableStyleLight1"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368d381d81047fe" /></Relationships>
</file>

<file path=xl/worksheets/_rels/sheet2.xml.rels>&#65279;<?xml version="1.0" encoding="utf-8"?><Relationships xmlns="http://schemas.openxmlformats.org/package/2006/relationships"><Relationship Type="http://schemas.openxmlformats.org/officeDocument/2006/relationships/table" Target="/xl/tables/table1.xml" Id="R9a71dfa0b3ef44c6" /></Relationships>
</file>

<file path=xl/worksheets/_rels/sheet3.xml.rels>&#65279;<?xml version="1.0" encoding="utf-8"?><Relationships xmlns="http://schemas.openxmlformats.org/package/2006/relationships"><Relationship Type="http://schemas.openxmlformats.org/officeDocument/2006/relationships/table" Target="/xl/tables/table2.xml" Id="R16ac7beb05fd423a" /></Relationships>
</file>

<file path=xl/worksheets/_rels/sheet4.xml.rels>&#65279;<?xml version="1.0" encoding="utf-8"?><Relationships xmlns="http://schemas.openxmlformats.org/package/2006/relationships"><Relationship Type="http://schemas.openxmlformats.org/officeDocument/2006/relationships/table" Target="/xl/tables/table3.xml" Id="Re0a35c20f2724b5a" /></Relationships>
</file>

<file path=xl/worksheets/_rels/sheet5.xml.rels>&#65279;<?xml version="1.0" encoding="utf-8"?><Relationships xmlns="http://schemas.openxmlformats.org/package/2006/relationships"><Relationship Type="http://schemas.openxmlformats.org/officeDocument/2006/relationships/table" Target="/xl/tables/table4.xml" Id="R7a4cfb1bdf824a83" /></Relationships>
</file>

<file path=xl/worksheets/sheet1.xml><?xml version="1.0" encoding="utf-8"?>
<x:worksheet xmlns:x="http://schemas.openxmlformats.org/spreadsheetml/2006/main">
  <x:sheetViews>
    <x:sheetView showGridLines="0" workbookViewId="0"/>
  </x:sheetViews>
  <x:sheetFormatPr defaultRowHeight="15"/>
  <x:cols>
    <x:col min="1" max="1" width="9" customWidth="1"/>
    <x:col min="2" max="2" width="38.140625" customWidth="1"/>
    <x:col min="3" max="3" width="33.28515625" customWidth="1"/>
    <x:col min="4" max="4" width="22.85546875" customWidth="1"/>
    <x:col min="5" max="9" width="17.140625" customWidth="1"/>
  </x:cols>
  <x:sheetData>
    <x:row r="2" ht="39.95000076293945" customHeight="1">
      <x:c r="B2" s="80" t="s">
        <x:v>0</x:v>
      </x:c>
      <x:c r="C2" s="81"/>
      <x:c r="D2" s="81"/>
      <x:c r="E2" s="81"/>
      <x:c r="F2" s="81"/>
      <x:c r="G2" s="81"/>
      <x:c r="H2" s="81"/>
      <x:c r="I2" s="81"/>
    </x:row>
    <x:row r="3" ht="24" customHeight="1">
      <x:c r="B3" s="82" t="s">
        <x:v>1</x:v>
      </x:c>
      <x:c r="C3" s="81"/>
      <x:c r="D3" s="81"/>
      <x:c r="E3" s="81"/>
      <x:c r="F3" s="81"/>
      <x:c r="G3" s="81"/>
      <x:c r="H3" s="81"/>
      <x:c r="I3" s="81"/>
    </x:row>
    <x:row r="5">
      <x:c r="B5" s="54" t="s">
        <x:v>2</x:v>
      </x:c>
      <x:c r="C5" s="3" t="s">
        <x:v>3</x:v>
      </x:c>
    </x:row>
    <x:row r="6">
      <x:c r="B6" s="54" t="s">
        <x:v>4</x:v>
      </x:c>
      <x:c r="C6" s="89" t="n">
        <x:v>46224</x:v>
      </x:c>
    </x:row>
    <x:row r="7">
      <x:c r="B7" s="54" t="s">
        <x:v>5</x:v>
      </x:c>
      <x:c r="C7" s="56" t="s">
        <x:v>6</x:v>
      </x:c>
    </x:row>
    <x:row r="9" ht="33.75" customHeight="1">
      <x:c r="B9" s="83" t="str">
        <x:v>Scope: completed fixes and deployment evidence now include the Phase 14 application clinic-governance migration, services, tests, health gates, and authentication guard. Initial Sys Admin bootstrap, authenticated workflow proof, and clinic-bound Fabric wallet enrollment remain explicit pending items.</x:v>
      </x:c>
      <x:c r="C9" s="84"/>
      <x:c r="D9" s="84"/>
      <x:c r="E9" s="84"/>
      <x:c r="F9" s="84"/>
      <x:c r="G9" s="84"/>
      <x:c r="H9" s="84"/>
      <x:c r="I9" s="84"/>
    </x:row>
    <x:row r="11" ht="17.25">
      <x:c r="B11" s="57" t="s">
        <x:v>7</x:v>
      </x:c>
      <x:c r="C11" s="3"/>
    </x:row>
    <x:row r="12">
      <x:c r="B12" s="58" t="s">
        <x:v>8</x:v>
      </x:c>
      <x:c r="C12" s="58" t="s">
        <x:v>9</x:v>
      </x:c>
    </x:row>
    <x:row r="13">
      <x:c r="B13" s="59" t="s">
        <x:v>10</x:v>
      </x:c>
      <x:c r="C13" s="60" t="n">
        <x:f>COUNTIF('Changes'!$B$2:$B$400,B13)</x:f>
        <x:v>83</x:v>
      </x:c>
    </x:row>
    <x:row r="14">
      <x:c r="B14" s="61" t="s">
        <x:v>11</x:v>
      </x:c>
      <x:c r="C14" s="60" t="n">
        <x:f>COUNTIF('Changes'!$B$2:$B$400,B14)</x:f>
        <x:v>19</x:v>
      </x:c>
    </x:row>
    <x:row r="15">
      <x:c r="B15" s="62" t="s">
        <x:v>12</x:v>
      </x:c>
      <x:c r="C15" s="60" t="n">
        <x:f>COUNTIF('Changes'!$B$2:$B$400,B15)</x:f>
        <x:v>15</x:v>
      </x:c>
    </x:row>
    <x:row r="16">
      <x:c r="B16" s="63" t="s">
        <x:v>13</x:v>
      </x:c>
      <x:c r="C16" s="60" t="n">
        <x:f>COUNTIF('Changes'!$B$2:$B$400,B16)</x:f>
        <x:v>19</x:v>
      </x:c>
    </x:row>
    <x:row r="17">
      <x:c r="B17" s="64" t="s">
        <x:v>14</x:v>
      </x:c>
      <x:c r="C17" s="65" t="n">
        <x:f>COUNTIF('Changes'!$B$2:$B$400,B17)</x:f>
        <x:v>1</x:v>
      </x:c>
    </x:row>
    <x:row r="18">
      <x:c r="B18" s="66" t="s">
        <x:v>15</x:v>
      </x:c>
      <x:c r="C18" s="65" t="n">
        <x:f>COUNTIF('Changes'!$B$2:$B$400,B18)</x:f>
        <x:v>9</x:v>
      </x:c>
    </x:row>
    <x:row r="19">
      <x:c r="B19" s="67" t="s">
        <x:v>16</x:v>
      </x:c>
      <x:c r="C19" s="65" t="n">
        <x:f>COUNTIF('Changes'!$B$2:$B$400,B19)</x:f>
        <x:v>19</x:v>
      </x:c>
    </x:row>
    <x:row r="20">
      <x:c r="B20" s="68" t="s">
        <x:v>17</x:v>
      </x:c>
      <x:c r="C20" s="65" t="n">
        <x:f>COUNTIF('Changes'!$B$2:$B$400,B20)</x:f>
        <x:v>5</x:v>
      </x:c>
    </x:row>
    <x:row r="21">
      <x:c r="B21" s="69" t="s">
        <x:v>18</x:v>
      </x:c>
      <x:c r="C21" s="70" t="n">
        <x:f>COUNTA('Changes'!$A$2:$A$400)</x:f>
        <x:v>170</x:v>
      </x:c>
    </x:row>
    <x:row r="22" ht="17.25">
      <x:c r="B22" s="71" t="s">
        <x:v>19</x:v>
      </x:c>
      <x:c r="C22" s="72"/>
    </x:row>
    <x:row r="23">
      <x:c r="B23" s="72" t="s">
        <x:v>20</x:v>
      </x:c>
      <x:c r="C23" s="60" t="n">
        <x:f>COUNTA('Runtime Artifacts'!$A$2:$A$100)</x:f>
        <x:v>22</x:v>
      </x:c>
    </x:row>
    <x:row r="24">
      <x:c r="B24" s="72" t="s">
        <x:v>21</x:v>
      </x:c>
      <x:c r="C24" s="60" t="n">
        <x:f>COUNTA('Verification'!$A$2:$A$200)</x:f>
        <x:v>78</x:v>
      </x:c>
    </x:row>
    <x:row r="25">
      <x:c r="B25" s="73" t="s">
        <x:v>22</x:v>
      </x:c>
      <x:c r="C25" s="65" t="n">
        <x:f>COUNTA('Known Items'!$A$2:$A$100)</x:f>
        <x:v>16</x:v>
      </x:c>
    </x:row>
  </x:sheetData>
  <x:mergeCells>
    <x:mergeCell ref="B2:I2"/>
    <x:mergeCell ref="B3:I3"/>
    <x:mergeCell ref="B9:I9"/>
  </x:mergeCells>
  <x:pageMargins left="0.7" right="0.7" top="0.75" bottom="0.75" header="0.3" footer="0.3"/>
  <x:drawing xmlns:r="http://schemas.openxmlformats.org/officeDocument/2006/relationships" r:id="R4368d381d81047fe"/>
</x:worksheet>
</file>

<file path=xl/worksheets/sheet2.xml><?xml version="1.0" encoding="utf-8"?>
<x:worksheet xmlns:x="http://schemas.openxmlformats.org/spreadsheetml/2006/main">
  <x:sheetFormatPr defaultRowHeight="15"/>
  <x:cols>
    <x:col min="1" max="1" width="9.85546875" style="3" customWidth="1"/>
    <x:col min="2" max="2" width="17.140625" style="3" customWidth="1"/>
    <x:col min="3" max="3" width="50.42578125" style="3" customWidth="1"/>
    <x:col min="4" max="4" width="20" style="3" customWidth="1"/>
    <x:col min="5" max="5" width="74.85546875" style="3" customWidth="1"/>
    <x:col min="6" max="6" width="81.42578125" style="3" customWidth="1"/>
    <x:col min="7" max="7" width="99.7109375" style="3" customWidth="1"/>
    <x:col min="8" max="8" width="22.85546875" style="3" customWidth="1"/>
    <x:col min="9" max="9" width="26.7109375" style="3" customWidth="1"/>
    <x:col min="10" max="10" width="28.5703125" style="3" customWidth="1"/>
    <x:col min="11" max="11" width="45.7109375" style="3" customWidth="1"/>
    <x:col min="12" max="16384" width="9.140625" style="3" customWidth="0"/>
  </x:cols>
  <x:sheetData>
    <x:row r="1">
      <x:c r="A1" s="27" t="s">
        <x:v>23</x:v>
      </x:c>
      <x:c r="B1" s="28" t="s">
        <x:v>8</x:v>
      </x:c>
      <x:c r="C1" s="28" t="s">
        <x:v>24</x:v>
      </x:c>
      <x:c r="D1" s="28" t="s">
        <x:v>25</x:v>
      </x:c>
      <x:c r="E1" s="28" t="s">
        <x:v>26</x:v>
      </x:c>
      <x:c r="F1" s="28" t="s">
        <x:v>27</x:v>
      </x:c>
      <x:c r="G1" s="28" t="s">
        <x:v>28</x:v>
      </x:c>
      <x:c r="H1" s="28" t="s">
        <x:v>29</x:v>
      </x:c>
      <x:c r="I1" s="28" t="s">
        <x:v>30</x:v>
      </x:c>
      <x:c r="J1" s="28" t="s">
        <x:v>31</x:v>
      </x:c>
      <x:c r="K1" s="29" t="s">
        <x:v>32</x:v>
      </x:c>
    </x:row>
    <x:row r="2" ht="40.5">
      <x:c r="A2" s="34" t="s">
        <x:v>33</x:v>
      </x:c>
      <x:c r="B2" s="35" t="s">
        <x:v>10</x:v>
      </x:c>
      <x:c r="C2" s="31" t="s">
        <x:v>34</x:v>
      </x:c>
      <x:c r="D2" s="36" t="s">
        <x:v>35</x:v>
      </x:c>
      <x:c r="E2" s="31" t="s">
        <x:v>36</x:v>
      </x:c>
      <x:c r="F2" s="31" t="s">
        <x:v>37</x:v>
      </x:c>
      <x:c r="G2" s="31" t="s">
        <x:v>38</x:v>
      </x:c>
      <x:c r="H2" s="31" t="s">
        <x:v>39</x:v>
      </x:c>
      <x:c r="I2" s="31" t="s">
        <x:v>40</x:v>
      </x:c>
      <x:c r="J2" s="31" t="s">
        <x:v>41</x:v>
      </x:c>
      <x:c r="K2" s="37" t="s">
        <x:v>42</x:v>
      </x:c>
    </x:row>
    <x:row r="3" ht="40.5">
      <x:c r="A3" s="34" t="s">
        <x:v>43</x:v>
      </x:c>
      <x:c r="B3" s="35" t="s">
        <x:v>10</x:v>
      </x:c>
      <x:c r="C3" s="31" t="s">
        <x:v>34</x:v>
      </x:c>
      <x:c r="D3" s="36" t="s">
        <x:v>44</x:v>
      </x:c>
      <x:c r="E3" s="31" t="s">
        <x:v>45</x:v>
      </x:c>
      <x:c r="F3" s="31" t="s">
        <x:v>46</x:v>
      </x:c>
      <x:c r="G3" s="31" t="s">
        <x:v>47</x:v>
      </x:c>
      <x:c r="H3" s="31" t="s">
        <x:v>39</x:v>
      </x:c>
      <x:c r="I3" s="31" t="s">
        <x:v>40</x:v>
      </x:c>
      <x:c r="J3" s="31" t="s">
        <x:v>41</x:v>
      </x:c>
      <x:c r="K3" s="37" t="s">
        <x:v>42</x:v>
      </x:c>
    </x:row>
    <x:row r="4" ht="40.5">
      <x:c r="A4" s="34" t="s">
        <x:v>48</x:v>
      </x:c>
      <x:c r="B4" s="35" t="s">
        <x:v>10</x:v>
      </x:c>
      <x:c r="C4" s="31" t="s">
        <x:v>34</x:v>
      </x:c>
      <x:c r="D4" s="36" t="s">
        <x:v>49</x:v>
      </x:c>
      <x:c r="E4" s="31" t="s">
        <x:v>50</x:v>
      </x:c>
      <x:c r="F4" s="31" t="s">
        <x:v>51</x:v>
      </x:c>
      <x:c r="G4" s="31" t="s">
        <x:v>52</x:v>
      </x:c>
      <x:c r="H4" s="31" t="s">
        <x:v>39</x:v>
      </x:c>
      <x:c r="I4" s="31" t="s">
        <x:v>40</x:v>
      </x:c>
      <x:c r="J4" s="31" t="s">
        <x:v>41</x:v>
      </x:c>
      <x:c r="K4" s="37" t="s">
        <x:v>42</x:v>
      </x:c>
    </x:row>
    <x:row r="5" ht="40.5">
      <x:c r="A5" s="34" t="s">
        <x:v>53</x:v>
      </x:c>
      <x:c r="B5" s="35" t="s">
        <x:v>10</x:v>
      </x:c>
      <x:c r="C5" s="31" t="s">
        <x:v>34</x:v>
      </x:c>
      <x:c r="D5" s="36" t="s">
        <x:v>54</x:v>
      </x:c>
      <x:c r="E5" s="31" t="s">
        <x:v>55</x:v>
      </x:c>
      <x:c r="F5" s="31" t="s">
        <x:v>56</x:v>
      </x:c>
      <x:c r="G5" s="31" t="s">
        <x:v>57</x:v>
      </x:c>
      <x:c r="H5" s="31" t="s">
        <x:v>39</x:v>
      </x:c>
      <x:c r="I5" s="31" t="s">
        <x:v>40</x:v>
      </x:c>
      <x:c r="J5" s="31" t="s">
        <x:v>41</x:v>
      </x:c>
      <x:c r="K5" s="37" t="s">
        <x:v>42</x:v>
      </x:c>
    </x:row>
    <x:row r="6" ht="40.5">
      <x:c r="A6" s="34" t="s">
        <x:v>58</x:v>
      </x:c>
      <x:c r="B6" s="35" t="s">
        <x:v>10</x:v>
      </x:c>
      <x:c r="C6" s="31" t="s">
        <x:v>59</x:v>
      </x:c>
      <x:c r="D6" s="36" t="s">
        <x:v>60</x:v>
      </x:c>
      <x:c r="E6" s="31" t="s">
        <x:v>61</x:v>
      </x:c>
      <x:c r="F6" s="31" t="s">
        <x:v>62</x:v>
      </x:c>
      <x:c r="G6" s="31" t="s">
        <x:v>63</x:v>
      </x:c>
      <x:c r="H6" s="31" t="s">
        <x:v>64</x:v>
      </x:c>
      <x:c r="I6" s="31" t="s">
        <x:v>40</x:v>
      </x:c>
      <x:c r="J6" s="31" t="s">
        <x:v>65</x:v>
      </x:c>
      <x:c r="K6" s="37" t="s">
        <x:v>66</x:v>
      </x:c>
    </x:row>
    <x:row r="7" ht="40.5">
      <x:c r="A7" s="34" t="s">
        <x:v>67</x:v>
      </x:c>
      <x:c r="B7" s="35" t="s">
        <x:v>10</x:v>
      </x:c>
      <x:c r="C7" s="31" t="s">
        <x:v>59</x:v>
      </x:c>
      <x:c r="D7" s="36" t="s">
        <x:v>68</x:v>
      </x:c>
      <x:c r="E7" s="31" t="s">
        <x:v>69</x:v>
      </x:c>
      <x:c r="F7" s="31" t="s">
        <x:v>70</x:v>
      </x:c>
      <x:c r="G7" s="31" t="s">
        <x:v>71</x:v>
      </x:c>
      <x:c r="H7" s="31" t="s">
        <x:v>39</x:v>
      </x:c>
      <x:c r="I7" s="31" t="s">
        <x:v>40</x:v>
      </x:c>
      <x:c r="J7" s="31" t="s">
        <x:v>41</x:v>
      </x:c>
      <x:c r="K7" s="37" t="s">
        <x:v>42</x:v>
      </x:c>
    </x:row>
    <x:row r="8" ht="40.5">
      <x:c r="A8" s="34" t="s">
        <x:v>72</x:v>
      </x:c>
      <x:c r="B8" s="35" t="s">
        <x:v>10</x:v>
      </x:c>
      <x:c r="C8" s="31" t="s">
        <x:v>59</x:v>
      </x:c>
      <x:c r="D8" s="36" t="s">
        <x:v>73</x:v>
      </x:c>
      <x:c r="E8" s="31" t="s">
        <x:v>74</x:v>
      </x:c>
      <x:c r="F8" s="31" t="s">
        <x:v>75</x:v>
      </x:c>
      <x:c r="G8" s="31" t="s">
        <x:v>76</x:v>
      </x:c>
      <x:c r="H8" s="31" t="s">
        <x:v>39</x:v>
      </x:c>
      <x:c r="I8" s="31" t="s">
        <x:v>40</x:v>
      </x:c>
      <x:c r="J8" s="31" t="s">
        <x:v>41</x:v>
      </x:c>
      <x:c r="K8" s="37" t="s">
        <x:v>42</x:v>
      </x:c>
    </x:row>
    <x:row r="9" ht="40.5">
      <x:c r="A9" s="34" t="s">
        <x:v>77</x:v>
      </x:c>
      <x:c r="B9" s="35" t="s">
        <x:v>10</x:v>
      </x:c>
      <x:c r="C9" s="31" t="s">
        <x:v>59</x:v>
      </x:c>
      <x:c r="D9" s="36" t="s">
        <x:v>78</x:v>
      </x:c>
      <x:c r="E9" s="31" t="s">
        <x:v>79</x:v>
      </x:c>
      <x:c r="F9" s="31" t="s">
        <x:v>80</x:v>
      </x:c>
      <x:c r="G9" s="31" t="s">
        <x:v>81</x:v>
      </x:c>
      <x:c r="H9" s="31" t="s">
        <x:v>82</x:v>
      </x:c>
      <x:c r="I9" s="31" t="s">
        <x:v>40</x:v>
      </x:c>
      <x:c r="J9" s="31" t="s">
        <x:v>83</x:v>
      </x:c>
      <x:c r="K9" s="37" t="s">
        <x:v>84</x:v>
      </x:c>
    </x:row>
    <x:row r="10" ht="40.5">
      <x:c r="A10" s="34" t="s">
        <x:v>85</x:v>
      </x:c>
      <x:c r="B10" s="35" t="s">
        <x:v>10</x:v>
      </x:c>
      <x:c r="C10" s="31" t="s">
        <x:v>59</x:v>
      </x:c>
      <x:c r="D10" s="36" t="s">
        <x:v>86</x:v>
      </x:c>
      <x:c r="E10" s="31" t="s">
        <x:v>87</x:v>
      </x:c>
      <x:c r="F10" s="31" t="s">
        <x:v>88</x:v>
      </x:c>
      <x:c r="G10" s="31" t="s">
        <x:v>89</x:v>
      </x:c>
      <x:c r="H10" s="31" t="s">
        <x:v>82</x:v>
      </x:c>
      <x:c r="I10" s="31" t="s">
        <x:v>40</x:v>
      </x:c>
      <x:c r="J10" s="31" t="s">
        <x:v>90</x:v>
      </x:c>
      <x:c r="K10" s="37" t="s">
        <x:v>84</x:v>
      </x:c>
    </x:row>
    <x:row r="11" ht="40.5">
      <x:c r="A11" s="34" t="s">
        <x:v>91</x:v>
      </x:c>
      <x:c r="B11" s="35" t="s">
        <x:v>10</x:v>
      </x:c>
      <x:c r="C11" s="31" t="s">
        <x:v>59</x:v>
      </x:c>
      <x:c r="D11" s="36" t="s">
        <x:v>92</x:v>
      </x:c>
      <x:c r="E11" s="31" t="s">
        <x:v>93</x:v>
      </x:c>
      <x:c r="F11" s="31" t="s">
        <x:v>94</x:v>
      </x:c>
      <x:c r="G11" s="31" t="s">
        <x:v>95</x:v>
      </x:c>
      <x:c r="H11" s="31" t="s">
        <x:v>82</x:v>
      </x:c>
      <x:c r="I11" s="31" t="s">
        <x:v>40</x:v>
      </x:c>
      <x:c r="J11" s="31" t="s">
        <x:v>96</x:v>
      </x:c>
      <x:c r="K11" s="37" t="s">
        <x:v>84</x:v>
      </x:c>
    </x:row>
    <x:row r="12" ht="27">
      <x:c r="A12" s="34" t="s">
        <x:v>97</x:v>
      </x:c>
      <x:c r="B12" s="35" t="s">
        <x:v>10</x:v>
      </x:c>
      <x:c r="C12" s="31" t="s">
        <x:v>59</x:v>
      </x:c>
      <x:c r="D12" s="36" t="s">
        <x:v>98</x:v>
      </x:c>
      <x:c r="E12" s="31" t="s">
        <x:v>99</x:v>
      </x:c>
      <x:c r="F12" s="31" t="s">
        <x:v>100</x:v>
      </x:c>
      <x:c r="G12" s="31" t="s">
        <x:v>101</x:v>
      </x:c>
      <x:c r="H12" s="31" t="s">
        <x:v>64</x:v>
      </x:c>
      <x:c r="I12" s="31" t="s">
        <x:v>40</x:v>
      </x:c>
      <x:c r="J12" s="31" t="s">
        <x:v>65</x:v>
      </x:c>
      <x:c r="K12" s="37" t="s">
        <x:v>66</x:v>
      </x:c>
    </x:row>
    <x:row r="13" ht="40.5">
      <x:c r="A13" s="34" t="s">
        <x:v>102</x:v>
      </x:c>
      <x:c r="B13" s="35" t="s">
        <x:v>10</x:v>
      </x:c>
      <x:c r="C13" s="31" t="s">
        <x:v>103</x:v>
      </x:c>
      <x:c r="D13" s="36" t="s">
        <x:v>104</x:v>
      </x:c>
      <x:c r="E13" s="31" t="s">
        <x:v>105</x:v>
      </x:c>
      <x:c r="F13" s="31" t="s">
        <x:v>106</x:v>
      </x:c>
      <x:c r="G13" s="31" t="s">
        <x:v>107</x:v>
      </x:c>
      <x:c r="H13" s="31" t="s">
        <x:v>39</x:v>
      </x:c>
      <x:c r="I13" s="31" t="s">
        <x:v>40</x:v>
      </x:c>
      <x:c r="J13" s="31" t="s">
        <x:v>41</x:v>
      </x:c>
      <x:c r="K13" s="37" t="s">
        <x:v>42</x:v>
      </x:c>
    </x:row>
    <x:row r="14" ht="40.5">
      <x:c r="A14" s="34" t="s">
        <x:v>108</x:v>
      </x:c>
      <x:c r="B14" s="35" t="s">
        <x:v>10</x:v>
      </x:c>
      <x:c r="C14" s="31" t="s">
        <x:v>103</x:v>
      </x:c>
      <x:c r="D14" s="36" t="s">
        <x:v>109</x:v>
      </x:c>
      <x:c r="E14" s="31" t="s">
        <x:v>110</x:v>
      </x:c>
      <x:c r="F14" s="31" t="s">
        <x:v>111</x:v>
      </x:c>
      <x:c r="G14" s="31" t="s">
        <x:v>112</x:v>
      </x:c>
      <x:c r="H14" s="31" t="s">
        <x:v>39</x:v>
      </x:c>
      <x:c r="I14" s="31" t="s">
        <x:v>40</x:v>
      </x:c>
      <x:c r="J14" s="31" t="s">
        <x:v>41</x:v>
      </x:c>
      <x:c r="K14" s="37" t="s">
        <x:v>42</x:v>
      </x:c>
    </x:row>
    <x:row r="15" ht="40.5">
      <x:c r="A15" s="34" t="s">
        <x:v>113</x:v>
      </x:c>
      <x:c r="B15" s="35" t="s">
        <x:v>10</x:v>
      </x:c>
      <x:c r="C15" s="31" t="s">
        <x:v>103</x:v>
      </x:c>
      <x:c r="D15" s="36" t="s">
        <x:v>114</x:v>
      </x:c>
      <x:c r="E15" s="31" t="s">
        <x:v>115</x:v>
      </x:c>
      <x:c r="F15" s="31" t="s">
        <x:v>116</x:v>
      </x:c>
      <x:c r="G15" s="31" t="s">
        <x:v>117</x:v>
      </x:c>
      <x:c r="H15" s="31" t="s">
        <x:v>39</x:v>
      </x:c>
      <x:c r="I15" s="31" t="s">
        <x:v>40</x:v>
      </x:c>
      <x:c r="J15" s="31" t="s">
        <x:v>41</x:v>
      </x:c>
      <x:c r="K15" s="37" t="s">
        <x:v>42</x:v>
      </x:c>
    </x:row>
    <x:row r="16" ht="40.5">
      <x:c r="A16" s="34" t="s">
        <x:v>118</x:v>
      </x:c>
      <x:c r="B16" s="35" t="s">
        <x:v>10</x:v>
      </x:c>
      <x:c r="C16" s="31" t="s">
        <x:v>103</x:v>
      </x:c>
      <x:c r="D16" s="36">
        <x:v>1184</x:v>
      </x:c>
      <x:c r="E16" s="31" t="s">
        <x:v>119</x:v>
      </x:c>
      <x:c r="F16" s="31" t="s">
        <x:v>120</x:v>
      </x:c>
      <x:c r="G16" s="31" t="s">
        <x:v>121</x:v>
      </x:c>
      <x:c r="H16" s="31" t="s">
        <x:v>39</x:v>
      </x:c>
      <x:c r="I16" s="31" t="s">
        <x:v>40</x:v>
      </x:c>
      <x:c r="J16" s="31" t="s">
        <x:v>122</x:v>
      </x:c>
      <x:c r="K16" s="37" t="s">
        <x:v>42</x:v>
      </x:c>
    </x:row>
    <x:row r="17" ht="27">
      <x:c r="A17" s="34" t="s">
        <x:v>123</x:v>
      </x:c>
      <x:c r="B17" s="35" t="s">
        <x:v>10</x:v>
      </x:c>
      <x:c r="C17" s="31" t="s">
        <x:v>124</x:v>
      </x:c>
      <x:c r="D17" s="38">
        <x:v>46046</x:v>
      </x:c>
      <x:c r="E17" s="31" t="s">
        <x:v>125</x:v>
      </x:c>
      <x:c r="F17" s="31" t="s">
        <x:v>126</x:v>
      </x:c>
      <x:c r="G17" s="31" t="s">
        <x:v>127</x:v>
      </x:c>
      <x:c r="H17" s="31" t="s">
        <x:v>64</x:v>
      </x:c>
      <x:c r="I17" s="31" t="s">
        <x:v>40</x:v>
      </x:c>
      <x:c r="J17" s="31" t="s">
        <x:v>65</x:v>
      </x:c>
      <x:c r="K17" s="37" t="s">
        <x:v>66</x:v>
      </x:c>
    </x:row>
    <x:row r="18" ht="40.5">
      <x:c r="A18" s="34" t="s">
        <x:v>128</x:v>
      </x:c>
      <x:c r="B18" s="35" t="s">
        <x:v>10</x:v>
      </x:c>
      <x:c r="C18" s="31" t="s">
        <x:v>129</x:v>
      </x:c>
      <x:c r="D18" s="38">
        <x:v>46041</x:v>
      </x:c>
      <x:c r="E18" s="31" t="s">
        <x:v>130</x:v>
      </x:c>
      <x:c r="F18" s="31" t="s">
        <x:v>131</x:v>
      </x:c>
      <x:c r="G18" s="31" t="s">
        <x:v>132</x:v>
      </x:c>
      <x:c r="H18" s="31" t="s">
        <x:v>39</x:v>
      </x:c>
      <x:c r="I18" s="31" t="s">
        <x:v>40</x:v>
      </x:c>
      <x:c r="J18" s="31" t="s">
        <x:v>41</x:v>
      </x:c>
      <x:c r="K18" s="37" t="s">
        <x:v>42</x:v>
      </x:c>
    </x:row>
    <x:row r="19" ht="40.5">
      <x:c r="A19" s="34" t="s">
        <x:v>133</x:v>
      </x:c>
      <x:c r="B19" s="35" t="s">
        <x:v>10</x:v>
      </x:c>
      <x:c r="C19" s="31" t="s">
        <x:v>134</x:v>
      </x:c>
      <x:c r="D19" s="38">
        <x:v>46202</x:v>
      </x:c>
      <x:c r="E19" s="31" t="s">
        <x:v>135</x:v>
      </x:c>
      <x:c r="F19" s="31" t="s">
        <x:v>136</x:v>
      </x:c>
      <x:c r="G19" s="31" t="s">
        <x:v>137</x:v>
      </x:c>
      <x:c r="H19" s="31" t="s">
        <x:v>39</x:v>
      </x:c>
      <x:c r="I19" s="31" t="s">
        <x:v>40</x:v>
      </x:c>
      <x:c r="J19" s="31" t="s">
        <x:v>41</x:v>
      </x:c>
      <x:c r="K19" s="37" t="s">
        <x:v>42</x:v>
      </x:c>
    </x:row>
    <x:row r="20" ht="40.5">
      <x:c r="A20" s="34" t="s">
        <x:v>138</x:v>
      </x:c>
      <x:c r="B20" s="35" t="s">
        <x:v>10</x:v>
      </x:c>
      <x:c r="C20" s="31" t="s">
        <x:v>139</x:v>
      </x:c>
      <x:c r="D20" s="38">
        <x:v>46040</x:v>
      </x:c>
      <x:c r="E20" s="31" t="s">
        <x:v>140</x:v>
      </x:c>
      <x:c r="F20" s="31" t="s">
        <x:v>141</x:v>
      </x:c>
      <x:c r="G20" s="31" t="s">
        <x:v>142</x:v>
      </x:c>
      <x:c r="H20" s="31" t="s">
        <x:v>39</x:v>
      </x:c>
      <x:c r="I20" s="31" t="s">
        <x:v>40</x:v>
      </x:c>
      <x:c r="J20" s="31" t="s">
        <x:v>41</x:v>
      </x:c>
      <x:c r="K20" s="37" t="s">
        <x:v>42</x:v>
      </x:c>
    </x:row>
    <x:row r="21" ht="40.5">
      <x:c r="A21" s="34" t="s">
        <x:v>143</x:v>
      </x:c>
      <x:c r="B21" s="35" t="s">
        <x:v>10</x:v>
      </x:c>
      <x:c r="C21" s="31" t="s">
        <x:v>144</x:v>
      </x:c>
      <x:c r="D21" s="39">
        <x:v>17715</x:v>
      </x:c>
      <x:c r="E21" s="31" t="s">
        <x:v>145</x:v>
      </x:c>
      <x:c r="F21" s="31" t="s">
        <x:v>146</x:v>
      </x:c>
      <x:c r="G21" s="31" t="s">
        <x:v>147</x:v>
      </x:c>
      <x:c r="H21" s="31" t="s">
        <x:v>39</x:v>
      </x:c>
      <x:c r="I21" s="31" t="s">
        <x:v>40</x:v>
      </x:c>
      <x:c r="J21" s="31" t="s">
        <x:v>41</x:v>
      </x:c>
      <x:c r="K21" s="37" t="s">
        <x:v>42</x:v>
      </x:c>
    </x:row>
    <x:row r="22" ht="27">
      <x:c r="A22" s="34" t="s">
        <x:v>148</x:v>
      </x:c>
      <x:c r="B22" s="35" t="s">
        <x:v>10</x:v>
      </x:c>
      <x:c r="C22" s="31" t="s">
        <x:v>149</x:v>
      </x:c>
      <x:c r="D22" s="36" t="s">
        <x:v>150</x:v>
      </x:c>
      <x:c r="E22" s="31" t="s">
        <x:v>151</x:v>
      </x:c>
      <x:c r="F22" s="31" t="s">
        <x:v>152</x:v>
      </x:c>
      <x:c r="G22" s="31" t="s">
        <x:v>153</x:v>
      </x:c>
      <x:c r="H22" s="31" t="s">
        <x:v>64</x:v>
      </x:c>
      <x:c r="I22" s="31" t="s">
        <x:v>40</x:v>
      </x:c>
      <x:c r="J22" s="31" t="s">
        <x:v>65</x:v>
      </x:c>
      <x:c r="K22" s="37" t="s">
        <x:v>66</x:v>
      </x:c>
    </x:row>
    <x:row r="23" ht="27">
      <x:c r="A23" s="34" t="s">
        <x:v>154</x:v>
      </x:c>
      <x:c r="B23" s="35" t="s">
        <x:v>10</x:v>
      </x:c>
      <x:c r="C23" s="31" t="s">
        <x:v>155</x:v>
      </x:c>
      <x:c r="D23" s="36" t="s">
        <x:v>156</x:v>
      </x:c>
      <x:c r="E23" s="31" t="s">
        <x:v>157</x:v>
      </x:c>
      <x:c r="F23" s="31" t="s">
        <x:v>158</x:v>
      </x:c>
      <x:c r="G23" s="31" t="s">
        <x:v>159</x:v>
      </x:c>
      <x:c r="H23" s="31" t="s">
        <x:v>64</x:v>
      </x:c>
      <x:c r="I23" s="31" t="s">
        <x:v>40</x:v>
      </x:c>
      <x:c r="J23" s="31" t="s">
        <x:v>160</x:v>
      </x:c>
      <x:c r="K23" s="37" t="s">
        <x:v>66</x:v>
      </x:c>
    </x:row>
    <x:row r="24" ht="27">
      <x:c r="A24" s="34" t="s">
        <x:v>161</x:v>
      </x:c>
      <x:c r="B24" s="35" t="s">
        <x:v>10</x:v>
      </x:c>
      <x:c r="C24" s="31" t="s">
        <x:v>162</x:v>
      </x:c>
      <x:c r="D24" s="36" t="s">
        <x:v>163</x:v>
      </x:c>
      <x:c r="E24" s="31" t="s">
        <x:v>164</x:v>
      </x:c>
      <x:c r="F24" s="31" t="s">
        <x:v>165</x:v>
      </x:c>
      <x:c r="G24" s="31" t="s">
        <x:v>166</x:v>
      </x:c>
      <x:c r="H24" s="31" t="s">
        <x:v>64</x:v>
      </x:c>
      <x:c r="I24" s="31" t="s">
        <x:v>40</x:v>
      </x:c>
      <x:c r="J24" s="31" t="s">
        <x:v>65</x:v>
      </x:c>
      <x:c r="K24" s="37" t="s">
        <x:v>66</x:v>
      </x:c>
    </x:row>
    <x:row r="25" ht="40.5">
      <x:c r="A25" s="34" t="s">
        <x:v>167</x:v>
      </x:c>
      <x:c r="B25" s="35" t="s">
        <x:v>10</x:v>
      </x:c>
      <x:c r="C25" s="31" t="s">
        <x:v>168</x:v>
      </x:c>
      <x:c r="D25" s="36" t="s">
        <x:v>169</x:v>
      </x:c>
      <x:c r="E25" s="31" t="s">
        <x:v>170</x:v>
      </x:c>
      <x:c r="F25" s="31" t="s">
        <x:v>171</x:v>
      </x:c>
      <x:c r="G25" s="31" t="s">
        <x:v>172</x:v>
      </x:c>
      <x:c r="H25" s="31" t="s">
        <x:v>64</x:v>
      </x:c>
      <x:c r="I25" s="31" t="s">
        <x:v>40</x:v>
      </x:c>
      <x:c r="J25" s="31" t="s">
        <x:v>173</x:v>
      </x:c>
      <x:c r="K25" s="37" t="s">
        <x:v>66</x:v>
      </x:c>
    </x:row>
    <x:row r="26" ht="40.5">
      <x:c r="A26" s="34" t="s">
        <x:v>174</x:v>
      </x:c>
      <x:c r="B26" s="35" t="s">
        <x:v>10</x:v>
      </x:c>
      <x:c r="C26" s="31" t="s">
        <x:v>175</x:v>
      </x:c>
      <x:c r="D26" s="36" t="s">
        <x:v>176</x:v>
      </x:c>
      <x:c r="E26" s="31" t="s">
        <x:v>177</x:v>
      </x:c>
      <x:c r="F26" s="31" t="s">
        <x:v>178</x:v>
      </x:c>
      <x:c r="G26" s="31" t="s">
        <x:v>179</x:v>
      </x:c>
      <x:c r="H26" s="31" t="s">
        <x:v>64</x:v>
      </x:c>
      <x:c r="I26" s="31" t="s">
        <x:v>40</x:v>
      </x:c>
      <x:c r="J26" s="31" t="s">
        <x:v>180</x:v>
      </x:c>
      <x:c r="K26" s="37" t="s">
        <x:v>66</x:v>
      </x:c>
    </x:row>
    <x:row r="27" ht="40.5">
      <x:c r="A27" s="34" t="s">
        <x:v>181</x:v>
      </x:c>
      <x:c r="B27" s="35" t="s">
        <x:v>10</x:v>
      </x:c>
      <x:c r="C27" s="31" t="s">
        <x:v>182</x:v>
      </x:c>
      <x:c r="D27" s="36" t="s">
        <x:v>183</x:v>
      </x:c>
      <x:c r="E27" s="31" t="s">
        <x:v>184</x:v>
      </x:c>
      <x:c r="F27" s="31" t="s">
        <x:v>185</x:v>
      </x:c>
      <x:c r="G27" s="31" t="s">
        <x:v>186</x:v>
      </x:c>
      <x:c r="H27" s="31" t="s">
        <x:v>82</x:v>
      </x:c>
      <x:c r="I27" s="31" t="s">
        <x:v>40</x:v>
      </x:c>
      <x:c r="J27" s="31" t="s">
        <x:v>83</x:v>
      </x:c>
      <x:c r="K27" s="37" t="s">
        <x:v>84</x:v>
      </x:c>
    </x:row>
    <x:row r="28" ht="40.5">
      <x:c r="A28" s="34" t="s">
        <x:v>187</x:v>
      </x:c>
      <x:c r="B28" s="35" t="s">
        <x:v>10</x:v>
      </x:c>
      <x:c r="C28" s="31" t="s">
        <x:v>188</x:v>
      </x:c>
      <x:c r="D28" s="38">
        <x:v>46045</x:v>
      </x:c>
      <x:c r="E28" s="31" t="s">
        <x:v>189</x:v>
      </x:c>
      <x:c r="F28" s="31" t="s">
        <x:v>190</x:v>
      </x:c>
      <x:c r="G28" s="31" t="s">
        <x:v>191</x:v>
      </x:c>
      <x:c r="H28" s="31" t="s">
        <x:v>39</x:v>
      </x:c>
      <x:c r="I28" s="31" t="s">
        <x:v>40</x:v>
      </x:c>
      <x:c r="J28" s="31" t="s">
        <x:v>41</x:v>
      </x:c>
      <x:c r="K28" s="37" t="s">
        <x:v>42</x:v>
      </x:c>
    </x:row>
    <x:row r="29" ht="40.5">
      <x:c r="A29" s="34" t="s">
        <x:v>192</x:v>
      </x:c>
      <x:c r="B29" s="35" t="s">
        <x:v>10</x:v>
      </x:c>
      <x:c r="C29" s="31" t="s">
        <x:v>193</x:v>
      </x:c>
      <x:c r="D29" s="36" t="s">
        <x:v>194</x:v>
      </x:c>
      <x:c r="E29" s="31" t="s">
        <x:v>195</x:v>
      </x:c>
      <x:c r="F29" s="31" t="s">
        <x:v>196</x:v>
      </x:c>
      <x:c r="G29" s="31" t="s">
        <x:v>197</x:v>
      </x:c>
      <x:c r="H29" s="31" t="s">
        <x:v>82</x:v>
      </x:c>
      <x:c r="I29" s="31" t="s">
        <x:v>40</x:v>
      </x:c>
      <x:c r="J29" s="31" t="s">
        <x:v>198</x:v>
      </x:c>
      <x:c r="K29" s="37" t="s">
        <x:v>84</x:v>
      </x:c>
    </x:row>
    <x:row r="30" ht="40.5">
      <x:c r="A30" s="34" t="s">
        <x:v>199</x:v>
      </x:c>
      <x:c r="B30" s="35" t="s">
        <x:v>10</x:v>
      </x:c>
      <x:c r="C30" s="31" t="s">
        <x:v>200</x:v>
      </x:c>
      <x:c r="D30" s="36" t="s">
        <x:v>201</x:v>
      </x:c>
      <x:c r="E30" s="31" t="s">
        <x:v>202</x:v>
      </x:c>
      <x:c r="F30" s="31" t="s">
        <x:v>203</x:v>
      </x:c>
      <x:c r="G30" s="31" t="s">
        <x:v>204</x:v>
      </x:c>
      <x:c r="H30" s="31" t="s">
        <x:v>82</x:v>
      </x:c>
      <x:c r="I30" s="31" t="s">
        <x:v>40</x:v>
      </x:c>
      <x:c r="J30" s="31" t="s">
        <x:v>205</x:v>
      </x:c>
      <x:c r="K30" s="37" t="s">
        <x:v>84</x:v>
      </x:c>
    </x:row>
    <x:row r="31" ht="40.5">
      <x:c r="A31" s="34" t="s">
        <x:v>206</x:v>
      </x:c>
      <x:c r="B31" s="35" t="s">
        <x:v>10</x:v>
      </x:c>
      <x:c r="C31" s="31" t="s">
        <x:v>207</x:v>
      </x:c>
      <x:c r="D31" s="36" t="s">
        <x:v>208</x:v>
      </x:c>
      <x:c r="E31" s="31" t="s">
        <x:v>209</x:v>
      </x:c>
      <x:c r="F31" s="31" t="s">
        <x:v>210</x:v>
      </x:c>
      <x:c r="G31" s="31" t="s">
        <x:v>211</x:v>
      </x:c>
      <x:c r="H31" s="31" t="s">
        <x:v>39</x:v>
      </x:c>
      <x:c r="I31" s="31" t="s">
        <x:v>40</x:v>
      </x:c>
      <x:c r="J31" s="31" t="s">
        <x:v>41</x:v>
      </x:c>
      <x:c r="K31" s="37" t="s">
        <x:v>42</x:v>
      </x:c>
    </x:row>
    <x:row r="32" ht="40.5">
      <x:c r="A32" s="34" t="s">
        <x:v>212</x:v>
      </x:c>
      <x:c r="B32" s="35" t="s">
        <x:v>10</x:v>
      </x:c>
      <x:c r="C32" s="31" t="s">
        <x:v>213</x:v>
      </x:c>
      <x:c r="D32" s="36" t="s">
        <x:v>214</x:v>
      </x:c>
      <x:c r="E32" s="31" t="s">
        <x:v>215</x:v>
      </x:c>
      <x:c r="F32" s="31" t="s">
        <x:v>210</x:v>
      </x:c>
      <x:c r="G32" s="31" t="s">
        <x:v>211</x:v>
      </x:c>
      <x:c r="H32" s="31" t="s">
        <x:v>39</x:v>
      </x:c>
      <x:c r="I32" s="31" t="s">
        <x:v>40</x:v>
      </x:c>
      <x:c r="J32" s="31" t="s">
        <x:v>41</x:v>
      </x:c>
      <x:c r="K32" s="37" t="s">
        <x:v>42</x:v>
      </x:c>
    </x:row>
    <x:row r="33" ht="40.5">
      <x:c r="A33" s="34" t="s">
        <x:v>216</x:v>
      </x:c>
      <x:c r="B33" s="35" t="s">
        <x:v>10</x:v>
      </x:c>
      <x:c r="C33" s="31" t="s">
        <x:v>217</x:v>
      </x:c>
      <x:c r="D33" s="36" t="s">
        <x:v>218</x:v>
      </x:c>
      <x:c r="E33" s="31" t="s">
        <x:v>219</x:v>
      </x:c>
      <x:c r="F33" s="31" t="s">
        <x:v>220</x:v>
      </x:c>
      <x:c r="G33" s="31" t="s">
        <x:v>211</x:v>
      </x:c>
      <x:c r="H33" s="31" t="s">
        <x:v>39</x:v>
      </x:c>
      <x:c r="I33" s="31" t="s">
        <x:v>40</x:v>
      </x:c>
      <x:c r="J33" s="31" t="s">
        <x:v>41</x:v>
      </x:c>
      <x:c r="K33" s="37" t="s">
        <x:v>42</x:v>
      </x:c>
    </x:row>
    <x:row r="34" ht="40.5">
      <x:c r="A34" s="34" t="s">
        <x:v>221</x:v>
      </x:c>
      <x:c r="B34" s="35" t="s">
        <x:v>10</x:v>
      </x:c>
      <x:c r="C34" s="31" t="s">
        <x:v>222</x:v>
      </x:c>
      <x:c r="D34" s="36" t="s">
        <x:v>223</x:v>
      </x:c>
      <x:c r="E34" s="31" t="s">
        <x:v>224</x:v>
      </x:c>
      <x:c r="F34" s="31" t="s">
        <x:v>225</x:v>
      </x:c>
      <x:c r="G34" s="31" t="s">
        <x:v>226</x:v>
      </x:c>
      <x:c r="H34" s="31" t="s">
        <x:v>39</x:v>
      </x:c>
      <x:c r="I34" s="31" t="s">
        <x:v>40</x:v>
      </x:c>
      <x:c r="J34" s="31" t="s">
        <x:v>41</x:v>
      </x:c>
      <x:c r="K34" s="37" t="s">
        <x:v>42</x:v>
      </x:c>
    </x:row>
    <x:row r="35" ht="40.5">
      <x:c r="A35" s="34" t="s">
        <x:v>227</x:v>
      </x:c>
      <x:c r="B35" s="35" t="s">
        <x:v>10</x:v>
      </x:c>
      <x:c r="C35" s="31" t="s">
        <x:v>228</x:v>
      </x:c>
      <x:c r="D35" s="36" t="s">
        <x:v>229</x:v>
      </x:c>
      <x:c r="E35" s="31" t="s">
        <x:v>230</x:v>
      </x:c>
      <x:c r="F35" s="31" t="s">
        <x:v>231</x:v>
      </x:c>
      <x:c r="G35" s="31" t="s">
        <x:v>232</x:v>
      </x:c>
      <x:c r="H35" s="31" t="s">
        <x:v>39</x:v>
      </x:c>
      <x:c r="I35" s="31" t="s">
        <x:v>40</x:v>
      </x:c>
      <x:c r="J35" s="31" t="s">
        <x:v>41</x:v>
      </x:c>
      <x:c r="K35" s="37" t="s">
        <x:v>42</x:v>
      </x:c>
    </x:row>
    <x:row r="36" ht="40.5">
      <x:c r="A36" s="34" t="s">
        <x:v>233</x:v>
      </x:c>
      <x:c r="B36" s="35" t="s">
        <x:v>10</x:v>
      </x:c>
      <x:c r="C36" s="31" t="s">
        <x:v>34</x:v>
      </x:c>
      <x:c r="D36" s="31" t="s">
        <x:v>234</x:v>
      </x:c>
      <x:c r="E36" s="31" t="s">
        <x:v>235</x:v>
      </x:c>
      <x:c r="F36" s="31" t="s">
        <x:v>236</x:v>
      </x:c>
      <x:c r="G36" s="31" t="s">
        <x:v>237</x:v>
      </x:c>
      <x:c r="H36" s="31" t="s">
        <x:v>82</x:v>
      </x:c>
      <x:c r="I36" s="31" t="s">
        <x:v>238</x:v>
      </x:c>
      <x:c r="J36" s="31" t="s">
        <x:v>239</x:v>
      </x:c>
      <x:c r="K36" s="37" t="s">
        <x:v>84</x:v>
      </x:c>
    </x:row>
    <x:row r="37" ht="40.5">
      <x:c r="A37" s="34" t="s">
        <x:v>240</x:v>
      </x:c>
      <x:c r="B37" s="35" t="s">
        <x:v>10</x:v>
      </x:c>
      <x:c r="C37" s="31" t="s">
        <x:v>59</x:v>
      </x:c>
      <x:c r="D37" s="31" t="s">
        <x:v>241</x:v>
      </x:c>
      <x:c r="E37" s="31" t="s">
        <x:v>242</x:v>
      </x:c>
      <x:c r="F37" s="31" t="s">
        <x:v>243</x:v>
      </x:c>
      <x:c r="G37" s="31" t="s">
        <x:v>244</x:v>
      </x:c>
      <x:c r="H37" s="31" t="s">
        <x:v>82</x:v>
      </x:c>
      <x:c r="I37" s="31" t="s">
        <x:v>238</x:v>
      </x:c>
      <x:c r="J37" s="31" t="s">
        <x:v>239</x:v>
      </x:c>
      <x:c r="K37" s="37" t="s">
        <x:v>84</x:v>
      </x:c>
    </x:row>
    <x:row r="38" ht="40.5">
      <x:c r="A38" s="34" t="s">
        <x:v>245</x:v>
      </x:c>
      <x:c r="B38" s="35" t="s">
        <x:v>10</x:v>
      </x:c>
      <x:c r="C38" s="31" t="s">
        <x:v>246</x:v>
      </x:c>
      <x:c r="D38" s="31" t="s">
        <x:v>247</x:v>
      </x:c>
      <x:c r="E38" s="31" t="s">
        <x:v>248</x:v>
      </x:c>
      <x:c r="F38" s="31" t="s">
        <x:v>249</x:v>
      </x:c>
      <x:c r="G38" s="31" t="s">
        <x:v>250</x:v>
      </x:c>
      <x:c r="H38" s="31" t="s">
        <x:v>82</x:v>
      </x:c>
      <x:c r="I38" s="31" t="s">
        <x:v>238</x:v>
      </x:c>
      <x:c r="J38" s="31" t="s">
        <x:v>239</x:v>
      </x:c>
      <x:c r="K38" s="37" t="s">
        <x:v>84</x:v>
      </x:c>
    </x:row>
    <x:row r="39" ht="40.5">
      <x:c r="A39" s="34" t="s">
        <x:v>251</x:v>
      </x:c>
      <x:c r="B39" s="35" t="s">
        <x:v>10</x:v>
      </x:c>
      <x:c r="C39" s="31" t="s">
        <x:v>252</x:v>
      </x:c>
      <x:c r="D39" s="31" t="s">
        <x:v>253</x:v>
      </x:c>
      <x:c r="E39" s="31" t="s">
        <x:v>254</x:v>
      </x:c>
      <x:c r="F39" s="31" t="s">
        <x:v>255</x:v>
      </x:c>
      <x:c r="G39" s="31" t="s">
        <x:v>256</x:v>
      </x:c>
      <x:c r="H39" s="31" t="s">
        <x:v>82</x:v>
      </x:c>
      <x:c r="I39" s="31" t="s">
        <x:v>238</x:v>
      </x:c>
      <x:c r="J39" s="31" t="s">
        <x:v>239</x:v>
      </x:c>
      <x:c r="K39" s="37" t="s">
        <x:v>84</x:v>
      </x:c>
    </x:row>
    <x:row r="40" ht="40.5">
      <x:c r="A40" s="34" t="s">
        <x:v>257</x:v>
      </x:c>
      <x:c r="B40" s="35" t="s">
        <x:v>10</x:v>
      </x:c>
      <x:c r="C40" s="31" t="s">
        <x:v>258</x:v>
      </x:c>
      <x:c r="D40" s="31" t="s">
        <x:v>259</x:v>
      </x:c>
      <x:c r="E40" s="31" t="s">
        <x:v>260</x:v>
      </x:c>
      <x:c r="F40" s="31" t="s">
        <x:v>261</x:v>
      </x:c>
      <x:c r="G40" s="31" t="s">
        <x:v>262</x:v>
      </x:c>
      <x:c r="H40" s="31" t="s">
        <x:v>39</x:v>
      </x:c>
      <x:c r="I40" s="31" t="s">
        <x:v>238</x:v>
      </x:c>
      <x:c r="J40" s="31" t="s">
        <x:v>263</x:v>
      </x:c>
      <x:c r="K40" s="37" t="s">
        <x:v>42</x:v>
      </x:c>
    </x:row>
    <x:row r="41" ht="40.5">
      <x:c r="A41" s="34" t="s">
        <x:v>264</x:v>
      </x:c>
      <x:c r="B41" s="35" t="s">
        <x:v>10</x:v>
      </x:c>
      <x:c r="C41" s="31" t="s">
        <x:v>34</x:v>
      </x:c>
      <x:c r="D41" s="31" t="s">
        <x:v>265</x:v>
      </x:c>
      <x:c r="E41" s="31" t="s">
        <x:v>266</x:v>
      </x:c>
      <x:c r="F41" s="31" t="s">
        <x:v>267</x:v>
      </x:c>
      <x:c r="G41" s="31" t="s">
        <x:v>268</x:v>
      </x:c>
      <x:c r="H41" s="31" t="s">
        <x:v>82</x:v>
      </x:c>
      <x:c r="I41" s="31" t="s">
        <x:v>238</x:v>
      </x:c>
      <x:c r="J41" s="31" t="s">
        <x:v>239</x:v>
      </x:c>
      <x:c r="K41" s="37" t="s">
        <x:v>84</x:v>
      </x:c>
    </x:row>
    <x:row r="42" ht="40.5">
      <x:c r="A42" s="34" t="s">
        <x:v>269</x:v>
      </x:c>
      <x:c r="B42" s="35" t="s">
        <x:v>10</x:v>
      </x:c>
      <x:c r="C42" s="31" t="s">
        <x:v>59</x:v>
      </x:c>
      <x:c r="D42" s="31" t="s">
        <x:v>270</x:v>
      </x:c>
      <x:c r="E42" s="31" t="s">
        <x:v>271</x:v>
      </x:c>
      <x:c r="F42" s="31" t="s">
        <x:v>272</x:v>
      </x:c>
      <x:c r="G42" s="31" t="s">
        <x:v>273</x:v>
      </x:c>
      <x:c r="H42" s="31" t="s">
        <x:v>82</x:v>
      </x:c>
      <x:c r="I42" s="31" t="s">
        <x:v>238</x:v>
      </x:c>
      <x:c r="J42" s="31" t="s">
        <x:v>239</x:v>
      </x:c>
      <x:c r="K42" s="37" t="s">
        <x:v>84</x:v>
      </x:c>
    </x:row>
    <x:row r="43" ht="40.5">
      <x:c r="A43" s="34" t="s">
        <x:v>274</x:v>
      </x:c>
      <x:c r="B43" s="35" t="s">
        <x:v>10</x:v>
      </x:c>
      <x:c r="C43" s="31" t="s">
        <x:v>275</x:v>
      </x:c>
      <x:c r="D43" s="31" t="s">
        <x:v>276</x:v>
      </x:c>
      <x:c r="E43" s="31" t="s">
        <x:v>277</x:v>
      </x:c>
      <x:c r="F43" s="31" t="s">
        <x:v>278</x:v>
      </x:c>
      <x:c r="G43" s="31" t="s">
        <x:v>279</x:v>
      </x:c>
      <x:c r="H43" s="31" t="s">
        <x:v>82</x:v>
      </x:c>
      <x:c r="I43" s="31" t="s">
        <x:v>238</x:v>
      </x:c>
      <x:c r="J43" s="31" t="s">
        <x:v>239</x:v>
      </x:c>
      <x:c r="K43" s="37" t="s">
        <x:v>84</x:v>
      </x:c>
    </x:row>
    <x:row r="44" ht="40.5">
      <x:c r="A44" s="34" t="s">
        <x:v>280</x:v>
      </x:c>
      <x:c r="B44" s="35" t="s">
        <x:v>10</x:v>
      </x:c>
      <x:c r="C44" s="31" t="s">
        <x:v>34</x:v>
      </x:c>
      <x:c r="D44" s="31" t="s">
        <x:v>281</x:v>
      </x:c>
      <x:c r="E44" s="31" t="s">
        <x:v>282</x:v>
      </x:c>
      <x:c r="F44" s="31" t="s">
        <x:v>283</x:v>
      </x:c>
      <x:c r="G44" s="31" t="s">
        <x:v>284</x:v>
      </x:c>
      <x:c r="H44" s="31" t="s">
        <x:v>82</x:v>
      </x:c>
      <x:c r="I44" s="31" t="s">
        <x:v>238</x:v>
      </x:c>
      <x:c r="J44" s="31" t="s">
        <x:v>239</x:v>
      </x:c>
      <x:c r="K44" s="37" t="s">
        <x:v>84</x:v>
      </x:c>
    </x:row>
    <x:row r="45" ht="40.5">
      <x:c r="A45" s="34" t="s">
        <x:v>285</x:v>
      </x:c>
      <x:c r="B45" s="35" t="s">
        <x:v>10</x:v>
      </x:c>
      <x:c r="C45" s="31" t="s">
        <x:v>200</x:v>
      </x:c>
      <x:c r="D45" s="31" t="s">
        <x:v>286</x:v>
      </x:c>
      <x:c r="E45" s="31" t="s">
        <x:v>287</x:v>
      </x:c>
      <x:c r="F45" s="31" t="s">
        <x:v>288</x:v>
      </x:c>
      <x:c r="G45" s="31" t="s">
        <x:v>289</x:v>
      </x:c>
      <x:c r="H45" s="31" t="s">
        <x:v>82</x:v>
      </x:c>
      <x:c r="I45" s="31" t="s">
        <x:v>238</x:v>
      </x:c>
      <x:c r="J45" s="31" t="s">
        <x:v>239</x:v>
      </x:c>
      <x:c r="K45" s="37" t="s">
        <x:v>84</x:v>
      </x:c>
    </x:row>
    <x:row r="46" ht="40.5">
      <x:c r="A46" s="34" t="s">
        <x:v>290</x:v>
      </x:c>
      <x:c r="B46" s="35" t="s">
        <x:v>10</x:v>
      </x:c>
      <x:c r="C46" s="31" t="s">
        <x:v>59</x:v>
      </x:c>
      <x:c r="D46" s="31" t="s">
        <x:v>291</x:v>
      </x:c>
      <x:c r="E46" s="31" t="s">
        <x:v>292</x:v>
      </x:c>
      <x:c r="F46" s="31" t="s">
        <x:v>293</x:v>
      </x:c>
      <x:c r="G46" s="31" t="s">
        <x:v>294</x:v>
      </x:c>
      <x:c r="H46" s="31" t="s">
        <x:v>82</x:v>
      </x:c>
      <x:c r="I46" s="31" t="s">
        <x:v>295</x:v>
      </x:c>
      <x:c r="J46" s="31" t="s">
        <x:v>296</x:v>
      </x:c>
      <x:c r="K46" s="37" t="s">
        <x:v>84</x:v>
      </x:c>
    </x:row>
    <x:row r="47" ht="40.5">
      <x:c r="A47" s="34" t="s">
        <x:v>297</x:v>
      </x:c>
      <x:c r="B47" s="35" t="s">
        <x:v>15</x:v>
      </x:c>
      <x:c r="C47" s="31" t="s">
        <x:v>103</x:v>
      </x:c>
      <x:c r="D47" s="31" t="s">
        <x:v>298</x:v>
      </x:c>
      <x:c r="E47" s="31" t="s">
        <x:v>299</x:v>
      </x:c>
      <x:c r="F47" s="31" t="s">
        <x:v>300</x:v>
      </x:c>
      <x:c r="G47" s="31" t="s">
        <x:v>301</x:v>
      </x:c>
      <x:c r="H47" s="31" t="s">
        <x:v>82</x:v>
      </x:c>
      <x:c r="I47" s="31" t="s">
        <x:v>295</x:v>
      </x:c>
      <x:c r="J47" s="31" t="s">
        <x:v>302</x:v>
      </x:c>
      <x:c r="K47" s="37" t="s">
        <x:v>84</x:v>
      </x:c>
    </x:row>
    <x:row r="48" ht="27">
      <x:c r="A48" s="34" t="s">
        <x:v>303</x:v>
      </x:c>
      <x:c r="B48" s="35" t="s">
        <x:v>10</x:v>
      </x:c>
      <x:c r="C48" s="31" t="s">
        <x:v>304</x:v>
      </x:c>
      <x:c r="D48" s="31" t="s">
        <x:v>305</x:v>
      </x:c>
      <x:c r="E48" s="31" t="s">
        <x:v>306</x:v>
      </x:c>
      <x:c r="F48" s="31" t="s">
        <x:v>307</x:v>
      </x:c>
      <x:c r="G48" s="31" t="s">
        <x:v>308</x:v>
      </x:c>
      <x:c r="H48" s="31" t="s">
        <x:v>64</x:v>
      </x:c>
      <x:c r="I48" s="31" t="s">
        <x:v>295</x:v>
      </x:c>
      <x:c r="J48" s="31" t="s">
        <x:v>296</x:v>
      </x:c>
      <x:c r="K48" s="37" t="s">
        <x:v>66</x:v>
      </x:c>
    </x:row>
    <x:row r="49" ht="40.5">
      <x:c r="A49" s="34" t="s">
        <x:v>309</x:v>
      </x:c>
      <x:c r="B49" s="35" t="s">
        <x:v>10</x:v>
      </x:c>
      <x:c r="C49" s="31" t="s">
        <x:v>34</x:v>
      </x:c>
      <x:c r="D49" s="31" t="s">
        <x:v>310</x:v>
      </x:c>
      <x:c r="E49" s="31" t="s">
        <x:v>311</x:v>
      </x:c>
      <x:c r="F49" s="31" t="s">
        <x:v>312</x:v>
      </x:c>
      <x:c r="G49" s="31" t="s">
        <x:v>313</x:v>
      </x:c>
      <x:c r="H49" s="31" t="s">
        <x:v>82</x:v>
      </x:c>
      <x:c r="I49" s="31" t="s">
        <x:v>314</x:v>
      </x:c>
      <x:c r="J49" s="31" t="s">
        <x:v>315</x:v>
      </x:c>
      <x:c r="K49" s="37" t="s">
        <x:v>84</x:v>
      </x:c>
    </x:row>
    <x:row r="50" ht="40.5">
      <x:c r="A50" s="34" t="s">
        <x:v>316</x:v>
      </x:c>
      <x:c r="B50" s="35" t="s">
        <x:v>17</x:v>
      </x:c>
      <x:c r="C50" s="31" t="s">
        <x:v>317</x:v>
      </x:c>
      <x:c r="D50" s="31" t="s">
        <x:v>318</x:v>
      </x:c>
      <x:c r="E50" s="31" t="s">
        <x:v>319</x:v>
      </x:c>
      <x:c r="F50" s="31" t="s">
        <x:v>320</x:v>
      </x:c>
      <x:c r="G50" s="31" t="s">
        <x:v>321</x:v>
      </x:c>
      <x:c r="H50" s="31" t="s">
        <x:v>82</x:v>
      </x:c>
      <x:c r="I50" s="31" t="s">
        <x:v>314</x:v>
      </x:c>
      <x:c r="J50" s="31" t="s">
        <x:v>315</x:v>
      </x:c>
      <x:c r="K50" s="37" t="s">
        <x:v>84</x:v>
      </x:c>
    </x:row>
    <x:row r="51" ht="40.5">
      <x:c r="A51" s="34" t="s">
        <x:v>322</x:v>
      </x:c>
      <x:c r="B51" s="35" t="s">
        <x:v>15</x:v>
      </x:c>
      <x:c r="C51" s="31" t="s">
        <x:v>103</x:v>
      </x:c>
      <x:c r="D51" s="31" t="s">
        <x:v>323</x:v>
      </x:c>
      <x:c r="E51" s="31" t="s">
        <x:v>324</x:v>
      </x:c>
      <x:c r="F51" s="31" t="s">
        <x:v>325</x:v>
      </x:c>
      <x:c r="G51" s="31" t="s">
        <x:v>326</x:v>
      </x:c>
      <x:c r="H51" s="31" t="s">
        <x:v>82</x:v>
      </x:c>
      <x:c r="I51" s="31" t="s">
        <x:v>314</x:v>
      </x:c>
      <x:c r="J51" s="31" t="s">
        <x:v>327</x:v>
      </x:c>
      <x:c r="K51" s="37" t="s">
        <x:v>84</x:v>
      </x:c>
    </x:row>
    <x:row r="52" ht="40.5">
      <x:c r="A52" s="34" t="s">
        <x:v>328</x:v>
      </x:c>
      <x:c r="B52" s="35" t="s">
        <x:v>10</x:v>
      </x:c>
      <x:c r="C52" s="31" t="s">
        <x:v>59</x:v>
      </x:c>
      <x:c r="D52" s="31" t="s">
        <x:v>329</x:v>
      </x:c>
      <x:c r="E52" s="31" t="s">
        <x:v>330</x:v>
      </x:c>
      <x:c r="F52" s="31" t="s">
        <x:v>331</x:v>
      </x:c>
      <x:c r="G52" s="31" t="s">
        <x:v>332</x:v>
      </x:c>
      <x:c r="H52" s="31" t="s">
        <x:v>82</x:v>
      </x:c>
      <x:c r="I52" s="31" t="s">
        <x:v>314</x:v>
      </x:c>
      <x:c r="J52" s="31" t="s">
        <x:v>327</x:v>
      </x:c>
      <x:c r="K52" s="37" t="s">
        <x:v>84</x:v>
      </x:c>
    </x:row>
    <x:row r="53" ht="40.5">
      <x:c r="A53" s="34" t="s">
        <x:v>333</x:v>
      </x:c>
      <x:c r="B53" s="35" t="s">
        <x:v>10</x:v>
      </x:c>
      <x:c r="C53" s="31" t="s">
        <x:v>334</x:v>
      </x:c>
      <x:c r="D53" s="31" t="s">
        <x:v>335</x:v>
      </x:c>
      <x:c r="E53" s="31" t="s">
        <x:v>336</x:v>
      </x:c>
      <x:c r="F53" s="31" t="s">
        <x:v>337</x:v>
      </x:c>
      <x:c r="G53" s="31" t="s">
        <x:v>338</x:v>
      </x:c>
      <x:c r="H53" s="31" t="s">
        <x:v>82</x:v>
      </x:c>
      <x:c r="I53" s="31" t="s">
        <x:v>314</x:v>
      </x:c>
      <x:c r="J53" s="31" t="s">
        <x:v>315</x:v>
      </x:c>
      <x:c r="K53" s="37" t="s">
        <x:v>84</x:v>
      </x:c>
    </x:row>
    <x:row r="54" ht="40.5">
      <x:c r="A54" s="34" t="s">
        <x:v>339</x:v>
      </x:c>
      <x:c r="B54" s="35" t="s">
        <x:v>16</x:v>
      </x:c>
      <x:c r="C54" s="31" t="s">
        <x:v>340</x:v>
      </x:c>
      <x:c r="D54" s="31" t="s">
        <x:v>341</x:v>
      </x:c>
      <x:c r="E54" s="31" t="s">
        <x:v>342</x:v>
      </x:c>
      <x:c r="F54" s="31" t="s">
        <x:v>343</x:v>
      </x:c>
      <x:c r="G54" s="31" t="s">
        <x:v>344</x:v>
      </x:c>
      <x:c r="H54" s="31" t="s">
        <x:v>345</x:v>
      </x:c>
      <x:c r="I54" s="31" t="s">
        <x:v>314</x:v>
      </x:c>
      <x:c r="J54" s="31" t="s">
        <x:v>315</x:v>
      </x:c>
      <x:c r="K54" s="37" t="s">
        <x:v>346</x:v>
      </x:c>
    </x:row>
    <x:row r="55" ht="40.5">
      <x:c r="A55" s="34" t="s">
        <x:v>347</x:v>
      </x:c>
      <x:c r="B55" s="35" t="s">
        <x:v>11</x:v>
      </x:c>
      <x:c r="C55" s="31" t="s">
        <x:v>348</x:v>
      </x:c>
      <x:c r="D55" s="36" t="s">
        <x:v>349</x:v>
      </x:c>
      <x:c r="E55" s="31" t="s">
        <x:v>350</x:v>
      </x:c>
      <x:c r="F55" s="31" t="s">
        <x:v>351</x:v>
      </x:c>
      <x:c r="G55" s="31" t="s">
        <x:v>352</x:v>
      </x:c>
      <x:c r="H55" s="31" t="s">
        <x:v>39</x:v>
      </x:c>
      <x:c r="I55" s="31" t="s">
        <x:v>40</x:v>
      </x:c>
      <x:c r="J55" s="31" t="s">
        <x:v>41</x:v>
      </x:c>
      <x:c r="K55" s="37" t="s">
        <x:v>42</x:v>
      </x:c>
    </x:row>
    <x:row r="56" ht="40.5">
      <x:c r="A56" s="34" t="s">
        <x:v>353</x:v>
      </x:c>
      <x:c r="B56" s="35" t="s">
        <x:v>11</x:v>
      </x:c>
      <x:c r="C56" s="31" t="s">
        <x:v>354</x:v>
      </x:c>
      <x:c r="D56" s="38">
        <x:v>46026</x:v>
      </x:c>
      <x:c r="E56" s="31" t="s">
        <x:v>355</x:v>
      </x:c>
      <x:c r="F56" s="31" t="s">
        <x:v>356</x:v>
      </x:c>
      <x:c r="G56" s="31" t="s">
        <x:v>357</x:v>
      </x:c>
      <x:c r="H56" s="31" t="s">
        <x:v>39</x:v>
      </x:c>
      <x:c r="I56" s="31" t="s">
        <x:v>40</x:v>
      </x:c>
      <x:c r="J56" s="31" t="s">
        <x:v>41</x:v>
      </x:c>
      <x:c r="K56" s="37" t="s">
        <x:v>42</x:v>
      </x:c>
    </x:row>
    <x:row r="57" ht="40.5">
      <x:c r="A57" s="34" t="s">
        <x:v>358</x:v>
      </x:c>
      <x:c r="B57" s="35" t="s">
        <x:v>11</x:v>
      </x:c>
      <x:c r="C57" s="31" t="s">
        <x:v>359</x:v>
      </x:c>
      <x:c r="D57" s="36" t="s">
        <x:v>360</x:v>
      </x:c>
      <x:c r="E57" s="31" t="s">
        <x:v>361</x:v>
      </x:c>
      <x:c r="F57" s="31" t="s">
        <x:v>362</x:v>
      </x:c>
      <x:c r="G57" s="31" t="s">
        <x:v>363</x:v>
      </x:c>
      <x:c r="H57" s="31" t="s">
        <x:v>39</x:v>
      </x:c>
      <x:c r="I57" s="31" t="s">
        <x:v>40</x:v>
      </x:c>
      <x:c r="J57" s="31" t="s">
        <x:v>41</x:v>
      </x:c>
      <x:c r="K57" s="37" t="s">
        <x:v>42</x:v>
      </x:c>
    </x:row>
    <x:row r="58" ht="40.5">
      <x:c r="A58" s="34" t="s">
        <x:v>364</x:v>
      </x:c>
      <x:c r="B58" s="35" t="s">
        <x:v>11</x:v>
      </x:c>
      <x:c r="C58" s="31" t="s">
        <x:v>365</x:v>
      </x:c>
      <x:c r="D58" s="36" t="s">
        <x:v>366</x:v>
      </x:c>
      <x:c r="E58" s="31" t="s">
        <x:v>367</x:v>
      </x:c>
      <x:c r="F58" s="31" t="s">
        <x:v>368</x:v>
      </x:c>
      <x:c r="G58" s="31" t="s">
        <x:v>369</x:v>
      </x:c>
      <x:c r="H58" s="31" t="s">
        <x:v>39</x:v>
      </x:c>
      <x:c r="I58" s="31" t="s">
        <x:v>40</x:v>
      </x:c>
      <x:c r="J58" s="31" t="s">
        <x:v>41</x:v>
      </x:c>
      <x:c r="K58" s="37" t="s">
        <x:v>42</x:v>
      </x:c>
    </x:row>
    <x:row r="59" ht="40.5">
      <x:c r="A59" s="34" t="s">
        <x:v>370</x:v>
      </x:c>
      <x:c r="B59" s="35" t="s">
        <x:v>11</x:v>
      </x:c>
      <x:c r="C59" s="31" t="s">
        <x:v>371</x:v>
      </x:c>
      <x:c r="D59" s="38">
        <x:v>46030</x:v>
      </x:c>
      <x:c r="E59" s="31" t="s">
        <x:v>372</x:v>
      </x:c>
      <x:c r="F59" s="31" t="s">
        <x:v>373</x:v>
      </x:c>
      <x:c r="G59" s="31" t="s">
        <x:v>374</x:v>
      </x:c>
      <x:c r="H59" s="31" t="s">
        <x:v>39</x:v>
      </x:c>
      <x:c r="I59" s="31" t="s">
        <x:v>40</x:v>
      </x:c>
      <x:c r="J59" s="31" t="s">
        <x:v>41</x:v>
      </x:c>
      <x:c r="K59" s="37" t="s">
        <x:v>42</x:v>
      </x:c>
    </x:row>
    <x:row r="60" ht="40.5">
      <x:c r="A60" s="34" t="s">
        <x:v>375</x:v>
      </x:c>
      <x:c r="B60" s="35" t="s">
        <x:v>11</x:v>
      </x:c>
      <x:c r="C60" s="31" t="s">
        <x:v>376</x:v>
      </x:c>
      <x:c r="D60" s="36" t="s">
        <x:v>377</x:v>
      </x:c>
      <x:c r="E60" s="31" t="s">
        <x:v>378</x:v>
      </x:c>
      <x:c r="F60" s="31" t="s">
        <x:v>379</x:v>
      </x:c>
      <x:c r="G60" s="31" t="s">
        <x:v>380</x:v>
      </x:c>
      <x:c r="H60" s="31" t="s">
        <x:v>39</x:v>
      </x:c>
      <x:c r="I60" s="31" t="s">
        <x:v>40</x:v>
      </x:c>
      <x:c r="J60" s="31" t="s">
        <x:v>41</x:v>
      </x:c>
      <x:c r="K60" s="37" t="s">
        <x:v>42</x:v>
      </x:c>
    </x:row>
    <x:row r="61" ht="40.5">
      <x:c r="A61" s="34" t="s">
        <x:v>381</x:v>
      </x:c>
      <x:c r="B61" s="35" t="s">
        <x:v>11</x:v>
      </x:c>
      <x:c r="C61" s="31" t="s">
        <x:v>382</x:v>
      </x:c>
      <x:c r="D61" s="38">
        <x:v>46033</x:v>
      </x:c>
      <x:c r="E61" s="31" t="s">
        <x:v>372</x:v>
      </x:c>
      <x:c r="F61" s="31" t="s">
        <x:v>383</x:v>
      </x:c>
      <x:c r="G61" s="31" t="s">
        <x:v>384</x:v>
      </x:c>
      <x:c r="H61" s="31" t="s">
        <x:v>39</x:v>
      </x:c>
      <x:c r="I61" s="31" t="s">
        <x:v>40</x:v>
      </x:c>
      <x:c r="J61" s="31" t="s">
        <x:v>41</x:v>
      </x:c>
      <x:c r="K61" s="37" t="s">
        <x:v>42</x:v>
      </x:c>
    </x:row>
    <x:row r="62" ht="40.5">
      <x:c r="A62" s="34" t="s">
        <x:v>385</x:v>
      </x:c>
      <x:c r="B62" s="35" t="s">
        <x:v>11</x:v>
      </x:c>
      <x:c r="C62" s="31" t="s">
        <x:v>386</x:v>
      </x:c>
      <x:c r="D62" s="36" t="s">
        <x:v>387</x:v>
      </x:c>
      <x:c r="E62" s="31" t="s">
        <x:v>388</x:v>
      </x:c>
      <x:c r="F62" s="31" t="s">
        <x:v>389</x:v>
      </x:c>
      <x:c r="G62" s="31" t="s">
        <x:v>390</x:v>
      </x:c>
      <x:c r="H62" s="31" t="s">
        <x:v>39</x:v>
      </x:c>
      <x:c r="I62" s="31" t="s">
        <x:v>40</x:v>
      </x:c>
      <x:c r="J62" s="31" t="s">
        <x:v>41</x:v>
      </x:c>
      <x:c r="K62" s="37" t="s">
        <x:v>42</x:v>
      </x:c>
    </x:row>
    <x:row r="63" ht="40.5">
      <x:c r="A63" s="34" t="s">
        <x:v>391</x:v>
      </x:c>
      <x:c r="B63" s="35" t="s">
        <x:v>11</x:v>
      </x:c>
      <x:c r="C63" s="31" t="s">
        <x:v>392</x:v>
      </x:c>
      <x:c r="D63" s="36" t="s">
        <x:v>393</x:v>
      </x:c>
      <x:c r="E63" s="31" t="s">
        <x:v>394</x:v>
      </x:c>
      <x:c r="F63" s="31" t="s">
        <x:v>395</x:v>
      </x:c>
      <x:c r="G63" s="31" t="s">
        <x:v>396</x:v>
      </x:c>
      <x:c r="H63" s="31" t="s">
        <x:v>39</x:v>
      </x:c>
      <x:c r="I63" s="31" t="s">
        <x:v>40</x:v>
      </x:c>
      <x:c r="J63" s="31" t="s">
        <x:v>41</x:v>
      </x:c>
      <x:c r="K63" s="37" t="s">
        <x:v>42</x:v>
      </x:c>
    </x:row>
    <x:row r="64" ht="40.5">
      <x:c r="A64" s="34" t="s">
        <x:v>397</x:v>
      </x:c>
      <x:c r="B64" s="35" t="s">
        <x:v>11</x:v>
      </x:c>
      <x:c r="C64" s="31" t="s">
        <x:v>398</x:v>
      </x:c>
      <x:c r="D64" s="38">
        <x:v>46180</x:v>
      </x:c>
      <x:c r="E64" s="31" t="s">
        <x:v>399</x:v>
      </x:c>
      <x:c r="F64" s="31" t="s">
        <x:v>400</x:v>
      </x:c>
      <x:c r="G64" s="31" t="s">
        <x:v>401</x:v>
      </x:c>
      <x:c r="H64" s="31" t="s">
        <x:v>39</x:v>
      </x:c>
      <x:c r="I64" s="31" t="s">
        <x:v>40</x:v>
      </x:c>
      <x:c r="J64" s="31" t="s">
        <x:v>41</x:v>
      </x:c>
      <x:c r="K64" s="37" t="s">
        <x:v>42</x:v>
      </x:c>
    </x:row>
    <x:row r="65" ht="40.5">
      <x:c r="A65" s="34" t="s">
        <x:v>402</x:v>
      </x:c>
      <x:c r="B65" s="35" t="s">
        <x:v>11</x:v>
      </x:c>
      <x:c r="C65" s="31" t="s">
        <x:v>403</x:v>
      </x:c>
      <x:c r="D65" s="38">
        <x:v>46024</x:v>
      </x:c>
      <x:c r="E65" s="31" t="s">
        <x:v>372</x:v>
      </x:c>
      <x:c r="F65" s="31" t="s">
        <x:v>404</x:v>
      </x:c>
      <x:c r="G65" s="31" t="s">
        <x:v>405</x:v>
      </x:c>
      <x:c r="H65" s="31" t="s">
        <x:v>39</x:v>
      </x:c>
      <x:c r="I65" s="31" t="s">
        <x:v>40</x:v>
      </x:c>
      <x:c r="J65" s="31" t="s">
        <x:v>41</x:v>
      </x:c>
      <x:c r="K65" s="37" t="s">
        <x:v>42</x:v>
      </x:c>
    </x:row>
    <x:row r="66" ht="40.5">
      <x:c r="A66" s="34" t="s">
        <x:v>406</x:v>
      </x:c>
      <x:c r="B66" s="35" t="s">
        <x:v>11</x:v>
      </x:c>
      <x:c r="C66" s="31" t="s">
        <x:v>407</x:v>
      </x:c>
      <x:c r="D66" s="38">
        <x:v>46338</x:v>
      </x:c>
      <x:c r="E66" s="31" t="s">
        <x:v>408</x:v>
      </x:c>
      <x:c r="F66" s="31" t="s">
        <x:v>409</x:v>
      </x:c>
      <x:c r="G66" s="31" t="s">
        <x:v>410</x:v>
      </x:c>
      <x:c r="H66" s="31" t="s">
        <x:v>39</x:v>
      </x:c>
      <x:c r="I66" s="31" t="s">
        <x:v>40</x:v>
      </x:c>
      <x:c r="J66" s="31" t="s">
        <x:v>41</x:v>
      </x:c>
      <x:c r="K66" s="37" t="s">
        <x:v>42</x:v>
      </x:c>
    </x:row>
    <x:row r="67" ht="40.5">
      <x:c r="A67" s="34" t="s">
        <x:v>411</x:v>
      </x:c>
      <x:c r="B67" s="35" t="s">
        <x:v>11</x:v>
      </x:c>
      <x:c r="C67" s="31" t="s">
        <x:v>412</x:v>
      </x:c>
      <x:c r="D67" s="31" t="s">
        <x:v>413</x:v>
      </x:c>
      <x:c r="E67" s="31" t="s">
        <x:v>414</x:v>
      </x:c>
      <x:c r="F67" s="31" t="s">
        <x:v>415</x:v>
      </x:c>
      <x:c r="G67" s="31" t="s">
        <x:v>416</x:v>
      </x:c>
      <x:c r="H67" s="31" t="s">
        <x:v>39</x:v>
      </x:c>
      <x:c r="I67" s="31" t="s">
        <x:v>238</x:v>
      </x:c>
      <x:c r="J67" s="31" t="s">
        <x:v>239</x:v>
      </x:c>
      <x:c r="K67" s="37" t="s">
        <x:v>42</x:v>
      </x:c>
    </x:row>
    <x:row r="68" ht="40.5">
      <x:c r="A68" s="34" t="s">
        <x:v>417</x:v>
      </x:c>
      <x:c r="B68" s="35" t="s">
        <x:v>11</x:v>
      </x:c>
      <x:c r="C68" s="31" t="s">
        <x:v>418</x:v>
      </x:c>
      <x:c r="D68" s="31" t="s">
        <x:v>419</x:v>
      </x:c>
      <x:c r="E68" s="31" t="s">
        <x:v>420</x:v>
      </x:c>
      <x:c r="F68" s="31" t="s">
        <x:v>421</x:v>
      </x:c>
      <x:c r="G68" s="31" t="s">
        <x:v>422</x:v>
      </x:c>
      <x:c r="H68" s="31" t="s">
        <x:v>82</x:v>
      </x:c>
      <x:c r="I68" s="31" t="s">
        <x:v>238</x:v>
      </x:c>
      <x:c r="J68" s="31" t="s">
        <x:v>239</x:v>
      </x:c>
      <x:c r="K68" s="37" t="s">
        <x:v>84</x:v>
      </x:c>
    </x:row>
    <x:row r="69" ht="40.5">
      <x:c r="A69" s="34" t="s">
        <x:v>423</x:v>
      </x:c>
      <x:c r="B69" s="35" t="s">
        <x:v>11</x:v>
      </x:c>
      <x:c r="C69" s="31" t="s">
        <x:v>424</x:v>
      </x:c>
      <x:c r="D69" s="31" t="s">
        <x:v>425</x:v>
      </x:c>
      <x:c r="E69" s="31" t="s">
        <x:v>426</x:v>
      </x:c>
      <x:c r="F69" s="31" t="s">
        <x:v>427</x:v>
      </x:c>
      <x:c r="G69" s="31" t="s">
        <x:v>428</x:v>
      </x:c>
      <x:c r="H69" s="31" t="s">
        <x:v>39</x:v>
      </x:c>
      <x:c r="I69" s="31" t="s">
        <x:v>238</x:v>
      </x:c>
      <x:c r="J69" s="31" t="s">
        <x:v>239</x:v>
      </x:c>
      <x:c r="K69" s="37" t="s">
        <x:v>42</x:v>
      </x:c>
    </x:row>
    <x:row r="70" ht="40.5">
      <x:c r="A70" s="34" t="s">
        <x:v>429</x:v>
      </x:c>
      <x:c r="B70" s="35" t="s">
        <x:v>13</x:v>
      </x:c>
      <x:c r="C70" s="31" t="s">
        <x:v>430</x:v>
      </x:c>
      <x:c r="D70" s="36" t="s">
        <x:v>431</x:v>
      </x:c>
      <x:c r="E70" s="31" t="s">
        <x:v>432</x:v>
      </x:c>
      <x:c r="F70" s="31" t="s">
        <x:v>433</x:v>
      </x:c>
      <x:c r="G70" s="31" t="s">
        <x:v>434</x:v>
      </x:c>
      <x:c r="H70" s="31" t="s">
        <x:v>345</x:v>
      </x:c>
      <x:c r="I70" s="31" t="s">
        <x:v>40</x:v>
      </x:c>
      <x:c r="J70" s="31" t="s">
        <x:v>65</x:v>
      </x:c>
      <x:c r="K70" s="37" t="s">
        <x:v>346</x:v>
      </x:c>
    </x:row>
    <x:row r="71" ht="40.5">
      <x:c r="A71" s="34" t="s">
        <x:v>435</x:v>
      </x:c>
      <x:c r="B71" s="35" t="s">
        <x:v>13</x:v>
      </x:c>
      <x:c r="C71" s="31" t="s">
        <x:v>430</x:v>
      </x:c>
      <x:c r="D71" s="36">
        <x:v>155</x:v>
      </x:c>
      <x:c r="E71" s="31" t="s">
        <x:v>436</x:v>
      </x:c>
      <x:c r="F71" s="31" t="s">
        <x:v>437</x:v>
      </x:c>
      <x:c r="G71" s="31" t="s">
        <x:v>438</x:v>
      </x:c>
      <x:c r="H71" s="31" t="s">
        <x:v>345</x:v>
      </x:c>
      <x:c r="I71" s="31" t="s">
        <x:v>40</x:v>
      </x:c>
      <x:c r="J71" s="31" t="s">
        <x:v>65</x:v>
      </x:c>
      <x:c r="K71" s="37" t="s">
        <x:v>346</x:v>
      </x:c>
    </x:row>
    <x:row r="72" ht="40.5">
      <x:c r="A72" s="34" t="s">
        <x:v>439</x:v>
      </x:c>
      <x:c r="B72" s="35" t="s">
        <x:v>13</x:v>
      </x:c>
      <x:c r="C72" s="31" t="s">
        <x:v>430</x:v>
      </x:c>
      <x:c r="D72" s="36" t="s">
        <x:v>440</x:v>
      </x:c>
      <x:c r="E72" s="31" t="s">
        <x:v>441</x:v>
      </x:c>
      <x:c r="F72" s="31" t="s">
        <x:v>442</x:v>
      </x:c>
      <x:c r="G72" s="31" t="s">
        <x:v>443</x:v>
      </x:c>
      <x:c r="H72" s="31" t="s">
        <x:v>345</x:v>
      </x:c>
      <x:c r="I72" s="31" t="s">
        <x:v>40</x:v>
      </x:c>
      <x:c r="J72" s="31" t="s">
        <x:v>65</x:v>
      </x:c>
      <x:c r="K72" s="37" t="s">
        <x:v>346</x:v>
      </x:c>
    </x:row>
    <x:row r="73" ht="40.5">
      <x:c r="A73" s="34" t="s">
        <x:v>444</x:v>
      </x:c>
      <x:c r="B73" s="35" t="s">
        <x:v>13</x:v>
      </x:c>
      <x:c r="C73" s="31" t="s">
        <x:v>430</x:v>
      </x:c>
      <x:c r="D73" s="36" t="s">
        <x:v>445</x:v>
      </x:c>
      <x:c r="E73" s="31" t="s">
        <x:v>446</x:v>
      </x:c>
      <x:c r="F73" s="31" t="s">
        <x:v>447</x:v>
      </x:c>
      <x:c r="G73" s="31" t="s">
        <x:v>448</x:v>
      </x:c>
      <x:c r="H73" s="31" t="s">
        <x:v>345</x:v>
      </x:c>
      <x:c r="I73" s="31" t="s">
        <x:v>40</x:v>
      </x:c>
      <x:c r="J73" s="31" t="s">
        <x:v>65</x:v>
      </x:c>
      <x:c r="K73" s="37" t="s">
        <x:v>346</x:v>
      </x:c>
    </x:row>
    <x:row r="74" ht="40.5">
      <x:c r="A74" s="34" t="s">
        <x:v>449</x:v>
      </x:c>
      <x:c r="B74" s="35" t="s">
        <x:v>13</x:v>
      </x:c>
      <x:c r="C74" s="31" t="s">
        <x:v>450</x:v>
      </x:c>
      <x:c r="D74" s="36" t="s">
        <x:v>451</x:v>
      </x:c>
      <x:c r="E74" s="31" t="s">
        <x:v>452</x:v>
      </x:c>
      <x:c r="F74" s="31" t="s">
        <x:v>453</x:v>
      </x:c>
      <x:c r="G74" s="31" t="s">
        <x:v>454</x:v>
      </x:c>
      <x:c r="H74" s="31" t="s">
        <x:v>345</x:v>
      </x:c>
      <x:c r="I74" s="31" t="s">
        <x:v>40</x:v>
      </x:c>
      <x:c r="J74" s="31" t="s">
        <x:v>65</x:v>
      </x:c>
      <x:c r="K74" s="37" t="s">
        <x:v>346</x:v>
      </x:c>
    </x:row>
    <x:row r="75" ht="40.5">
      <x:c r="A75" s="34" t="s">
        <x:v>455</x:v>
      </x:c>
      <x:c r="B75" s="35" t="s">
        <x:v>13</x:v>
      </x:c>
      <x:c r="C75" s="31" t="s">
        <x:v>450</x:v>
      </x:c>
      <x:c r="D75" s="36" t="s">
        <x:v>456</x:v>
      </x:c>
      <x:c r="E75" s="31" t="s">
        <x:v>457</x:v>
      </x:c>
      <x:c r="F75" s="31" t="s">
        <x:v>458</x:v>
      </x:c>
      <x:c r="G75" s="31" t="s">
        <x:v>459</x:v>
      </x:c>
      <x:c r="H75" s="31" t="s">
        <x:v>345</x:v>
      </x:c>
      <x:c r="I75" s="31" t="s">
        <x:v>40</x:v>
      </x:c>
      <x:c r="J75" s="31" t="s">
        <x:v>65</x:v>
      </x:c>
      <x:c r="K75" s="37" t="s">
        <x:v>346</x:v>
      </x:c>
    </x:row>
    <x:row r="76" ht="40.5">
      <x:c r="A76" s="34" t="s">
        <x:v>460</x:v>
      </x:c>
      <x:c r="B76" s="35" t="s">
        <x:v>13</x:v>
      </x:c>
      <x:c r="C76" s="31" t="s">
        <x:v>450</x:v>
      </x:c>
      <x:c r="D76" s="36" t="s">
        <x:v>461</x:v>
      </x:c>
      <x:c r="E76" s="31" t="s">
        <x:v>462</x:v>
      </x:c>
      <x:c r="F76" s="31" t="s">
        <x:v>463</x:v>
      </x:c>
      <x:c r="G76" s="31" t="s">
        <x:v>464</x:v>
      </x:c>
      <x:c r="H76" s="31" t="s">
        <x:v>345</x:v>
      </x:c>
      <x:c r="I76" s="31" t="s">
        <x:v>40</x:v>
      </x:c>
      <x:c r="J76" s="31" t="s">
        <x:v>65</x:v>
      </x:c>
      <x:c r="K76" s="37" t="s">
        <x:v>346</x:v>
      </x:c>
    </x:row>
    <x:row r="77" ht="40.5">
      <x:c r="A77" s="34" t="s">
        <x:v>465</x:v>
      </x:c>
      <x:c r="B77" s="35" t="s">
        <x:v>13</x:v>
      </x:c>
      <x:c r="C77" s="31" t="s">
        <x:v>466</x:v>
      </x:c>
      <x:c r="D77" s="31" t="s">
        <x:v>253</x:v>
      </x:c>
      <x:c r="E77" s="31" t="s">
        <x:v>467</x:v>
      </x:c>
      <x:c r="F77" s="31" t="s">
        <x:v>468</x:v>
      </x:c>
      <x:c r="G77" s="31" t="s">
        <x:v>469</x:v>
      </x:c>
      <x:c r="H77" s="31" t="s">
        <x:v>345</x:v>
      </x:c>
      <x:c r="I77" s="31" t="s">
        <x:v>238</x:v>
      </x:c>
      <x:c r="J77" s="31" t="s">
        <x:v>239</x:v>
      </x:c>
      <x:c r="K77" s="37" t="s">
        <x:v>346</x:v>
      </x:c>
    </x:row>
    <x:row r="78" ht="40.5">
      <x:c r="A78" s="34" t="s">
        <x:v>470</x:v>
      </x:c>
      <x:c r="B78" s="35" t="s">
        <x:v>13</x:v>
      </x:c>
      <x:c r="C78" s="31" t="s">
        <x:v>471</x:v>
      </x:c>
      <x:c r="D78" s="31" t="s">
        <x:v>253</x:v>
      </x:c>
      <x:c r="E78" s="31" t="s">
        <x:v>472</x:v>
      </x:c>
      <x:c r="F78" s="31" t="s">
        <x:v>473</x:v>
      </x:c>
      <x:c r="G78" s="31" t="s">
        <x:v>474</x:v>
      </x:c>
      <x:c r="H78" s="31" t="s">
        <x:v>345</x:v>
      </x:c>
      <x:c r="I78" s="31" t="s">
        <x:v>238</x:v>
      </x:c>
      <x:c r="J78" s="31" t="s">
        <x:v>239</x:v>
      </x:c>
      <x:c r="K78" s="37" t="s">
        <x:v>346</x:v>
      </x:c>
    </x:row>
    <x:row r="79" ht="40.5">
      <x:c r="A79" s="34" t="s">
        <x:v>475</x:v>
      </x:c>
      <x:c r="B79" s="35" t="s">
        <x:v>13</x:v>
      </x:c>
      <x:c r="C79" s="31" t="s">
        <x:v>476</x:v>
      </x:c>
      <x:c r="D79" s="31" t="s">
        <x:v>253</x:v>
      </x:c>
      <x:c r="E79" s="31" t="s">
        <x:v>477</x:v>
      </x:c>
      <x:c r="F79" s="31" t="s">
        <x:v>478</x:v>
      </x:c>
      <x:c r="G79" s="31" t="s">
        <x:v>479</x:v>
      </x:c>
      <x:c r="H79" s="31" t="s">
        <x:v>345</x:v>
      </x:c>
      <x:c r="I79" s="31" t="s">
        <x:v>238</x:v>
      </x:c>
      <x:c r="J79" s="31" t="s">
        <x:v>239</x:v>
      </x:c>
      <x:c r="K79" s="37" t="s">
        <x:v>346</x:v>
      </x:c>
    </x:row>
    <x:row r="80" ht="40.5">
      <x:c r="A80" s="34" t="s">
        <x:v>480</x:v>
      </x:c>
      <x:c r="B80" s="35" t="s">
        <x:v>13</x:v>
      </x:c>
      <x:c r="C80" s="31" t="s">
        <x:v>481</x:v>
      </x:c>
      <x:c r="D80" s="31" t="s">
        <x:v>482</x:v>
      </x:c>
      <x:c r="E80" s="31" t="s">
        <x:v>483</x:v>
      </x:c>
      <x:c r="F80" s="31" t="s">
        <x:v>484</x:v>
      </x:c>
      <x:c r="G80" s="31" t="s">
        <x:v>485</x:v>
      </x:c>
      <x:c r="H80" s="31" t="s">
        <x:v>345</x:v>
      </x:c>
      <x:c r="I80" s="31" t="s">
        <x:v>295</x:v>
      </x:c>
      <x:c r="J80" s="31" t="s">
        <x:v>296</x:v>
      </x:c>
      <x:c r="K80" s="37" t="s">
        <x:v>346</x:v>
      </x:c>
    </x:row>
    <x:row r="81" ht="40.5">
      <x:c r="A81" s="34" t="s">
        <x:v>486</x:v>
      </x:c>
      <x:c r="B81" s="35" t="s">
        <x:v>12</x:v>
      </x:c>
      <x:c r="C81" s="31" t="s">
        <x:v>487</x:v>
      </x:c>
      <x:c r="D81" s="36" t="s">
        <x:v>488</x:v>
      </x:c>
      <x:c r="E81" s="31" t="s">
        <x:v>489</x:v>
      </x:c>
      <x:c r="F81" s="31" t="s">
        <x:v>490</x:v>
      </x:c>
      <x:c r="G81" s="31" t="s">
        <x:v>491</x:v>
      </x:c>
      <x:c r="H81" s="31" t="s">
        <x:v>39</x:v>
      </x:c>
      <x:c r="I81" s="31" t="s">
        <x:v>40</x:v>
      </x:c>
      <x:c r="J81" s="31" t="s">
        <x:v>41</x:v>
      </x:c>
      <x:c r="K81" s="37" t="s">
        <x:v>42</x:v>
      </x:c>
    </x:row>
    <x:row r="82" ht="40.5">
      <x:c r="A82" s="34" t="s">
        <x:v>492</x:v>
      </x:c>
      <x:c r="B82" s="35" t="s">
        <x:v>12</x:v>
      </x:c>
      <x:c r="C82" s="31" t="s">
        <x:v>493</x:v>
      </x:c>
      <x:c r="D82" s="36" t="s">
        <x:v>494</x:v>
      </x:c>
      <x:c r="E82" s="31" t="s">
        <x:v>495</x:v>
      </x:c>
      <x:c r="F82" s="31" t="s">
        <x:v>496</x:v>
      </x:c>
      <x:c r="G82" s="31" t="s">
        <x:v>497</x:v>
      </x:c>
      <x:c r="H82" s="31" t="s">
        <x:v>39</x:v>
      </x:c>
      <x:c r="I82" s="31" t="s">
        <x:v>40</x:v>
      </x:c>
      <x:c r="J82" s="31" t="s">
        <x:v>41</x:v>
      </x:c>
      <x:c r="K82" s="37" t="s">
        <x:v>42</x:v>
      </x:c>
    </x:row>
    <x:row r="83" ht="40.5">
      <x:c r="A83" s="34" t="s">
        <x:v>498</x:v>
      </x:c>
      <x:c r="B83" s="35" t="s">
        <x:v>12</x:v>
      </x:c>
      <x:c r="C83" s="31" t="s">
        <x:v>493</x:v>
      </x:c>
      <x:c r="D83" s="36" t="s">
        <x:v>499</x:v>
      </x:c>
      <x:c r="E83" s="31" t="s">
        <x:v>500</x:v>
      </x:c>
      <x:c r="F83" s="31" t="s">
        <x:v>501</x:v>
      </x:c>
      <x:c r="G83" s="31" t="s">
        <x:v>502</x:v>
      </x:c>
      <x:c r="H83" s="31" t="s">
        <x:v>39</x:v>
      </x:c>
      <x:c r="I83" s="31" t="s">
        <x:v>40</x:v>
      </x:c>
      <x:c r="J83" s="31" t="s">
        <x:v>41</x:v>
      </x:c>
      <x:c r="K83" s="37" t="s">
        <x:v>42</x:v>
      </x:c>
    </x:row>
    <x:row r="84" ht="40.5">
      <x:c r="A84" s="34" t="s">
        <x:v>503</x:v>
      </x:c>
      <x:c r="B84" s="35" t="s">
        <x:v>12</x:v>
      </x:c>
      <x:c r="C84" s="31" t="s">
        <x:v>504</x:v>
      </x:c>
      <x:c r="D84" s="36" t="s">
        <x:v>505</x:v>
      </x:c>
      <x:c r="E84" s="31" t="s">
        <x:v>506</x:v>
      </x:c>
      <x:c r="F84" s="31" t="s">
        <x:v>507</x:v>
      </x:c>
      <x:c r="G84" s="31" t="s">
        <x:v>508</x:v>
      </x:c>
      <x:c r="H84" s="31" t="s">
        <x:v>39</x:v>
      </x:c>
      <x:c r="I84" s="31" t="s">
        <x:v>40</x:v>
      </x:c>
      <x:c r="J84" s="31" t="s">
        <x:v>41</x:v>
      </x:c>
      <x:c r="K84" s="37" t="s">
        <x:v>42</x:v>
      </x:c>
    </x:row>
    <x:row r="85" ht="40.5">
      <x:c r="A85" s="34" t="s">
        <x:v>509</x:v>
      </x:c>
      <x:c r="B85" s="35" t="s">
        <x:v>12</x:v>
      </x:c>
      <x:c r="C85" s="31" t="s">
        <x:v>510</x:v>
      </x:c>
      <x:c r="D85" s="36" t="s">
        <x:v>511</x:v>
      </x:c>
      <x:c r="E85" s="31" t="s">
        <x:v>512</x:v>
      </x:c>
      <x:c r="F85" s="31" t="s">
        <x:v>513</x:v>
      </x:c>
      <x:c r="G85" s="31" t="s">
        <x:v>514</x:v>
      </x:c>
      <x:c r="H85" s="31" t="s">
        <x:v>39</x:v>
      </x:c>
      <x:c r="I85" s="31" t="s">
        <x:v>40</x:v>
      </x:c>
      <x:c r="J85" s="31" t="s">
        <x:v>41</x:v>
      </x:c>
      <x:c r="K85" s="37" t="s">
        <x:v>42</x:v>
      </x:c>
    </x:row>
    <x:row r="86" ht="40.5">
      <x:c r="A86" s="34" t="s">
        <x:v>515</x:v>
      </x:c>
      <x:c r="B86" s="35" t="s">
        <x:v>12</x:v>
      </x:c>
      <x:c r="C86" s="31" t="s">
        <x:v>516</x:v>
      </x:c>
      <x:c r="D86" s="36" t="s">
        <x:v>517</x:v>
      </x:c>
      <x:c r="E86" s="31" t="s">
        <x:v>518</x:v>
      </x:c>
      <x:c r="F86" s="31" t="s">
        <x:v>519</x:v>
      </x:c>
      <x:c r="G86" s="31" t="s">
        <x:v>520</x:v>
      </x:c>
      <x:c r="H86" s="31" t="s">
        <x:v>39</x:v>
      </x:c>
      <x:c r="I86" s="31" t="s">
        <x:v>40</x:v>
      </x:c>
      <x:c r="J86" s="31" t="s">
        <x:v>41</x:v>
      </x:c>
      <x:c r="K86" s="37" t="s">
        <x:v>42</x:v>
      </x:c>
    </x:row>
    <x:row r="87" ht="40.5">
      <x:c r="A87" s="34" t="s">
        <x:v>521</x:v>
      </x:c>
      <x:c r="B87" s="35" t="s">
        <x:v>12</x:v>
      </x:c>
      <x:c r="C87" s="31" t="s">
        <x:v>522</x:v>
      </x:c>
      <x:c r="D87" s="36" t="s">
        <x:v>523</x:v>
      </x:c>
      <x:c r="E87" s="31" t="s">
        <x:v>524</x:v>
      </x:c>
      <x:c r="F87" s="31" t="s">
        <x:v>525</x:v>
      </x:c>
      <x:c r="G87" s="31" t="s">
        <x:v>526</x:v>
      </x:c>
      <x:c r="H87" s="31" t="s">
        <x:v>39</x:v>
      </x:c>
      <x:c r="I87" s="31" t="s">
        <x:v>40</x:v>
      </x:c>
      <x:c r="J87" s="31" t="s">
        <x:v>41</x:v>
      </x:c>
      <x:c r="K87" s="37" t="s">
        <x:v>42</x:v>
      </x:c>
    </x:row>
    <x:row r="88" ht="40.5">
      <x:c r="A88" s="34" t="s">
        <x:v>527</x:v>
      </x:c>
      <x:c r="B88" s="35" t="s">
        <x:v>12</x:v>
      </x:c>
      <x:c r="C88" s="31" t="s">
        <x:v>528</x:v>
      </x:c>
      <x:c r="D88" s="36" t="s">
        <x:v>529</x:v>
      </x:c>
      <x:c r="E88" s="31" t="s">
        <x:v>530</x:v>
      </x:c>
      <x:c r="F88" s="31" t="s">
        <x:v>531</x:v>
      </x:c>
      <x:c r="G88" s="31" t="s">
        <x:v>532</x:v>
      </x:c>
      <x:c r="H88" s="31" t="s">
        <x:v>39</x:v>
      </x:c>
      <x:c r="I88" s="31" t="s">
        <x:v>40</x:v>
      </x:c>
      <x:c r="J88" s="31" t="s">
        <x:v>41</x:v>
      </x:c>
      <x:c r="K88" s="37" t="s">
        <x:v>42</x:v>
      </x:c>
    </x:row>
    <x:row r="89" ht="40.5">
      <x:c r="A89" s="34" t="s">
        <x:v>533</x:v>
      </x:c>
      <x:c r="B89" s="35" t="s">
        <x:v>12</x:v>
      </x:c>
      <x:c r="C89" s="31" t="s">
        <x:v>534</x:v>
      </x:c>
      <x:c r="D89" s="36">
        <x:v>14</x:v>
      </x:c>
      <x:c r="E89" s="31" t="s">
        <x:v>535</x:v>
      </x:c>
      <x:c r="F89" s="31" t="s">
        <x:v>513</x:v>
      </x:c>
      <x:c r="G89" s="31" t="s">
        <x:v>536</x:v>
      </x:c>
      <x:c r="H89" s="31" t="s">
        <x:v>39</x:v>
      </x:c>
      <x:c r="I89" s="31" t="s">
        <x:v>40</x:v>
      </x:c>
      <x:c r="J89" s="31" t="s">
        <x:v>41</x:v>
      </x:c>
      <x:c r="K89" s="37" t="s">
        <x:v>42</x:v>
      </x:c>
    </x:row>
    <x:row r="90" ht="40.5">
      <x:c r="A90" s="34" t="s">
        <x:v>537</x:v>
      </x:c>
      <x:c r="B90" s="35" t="s">
        <x:v>12</x:v>
      </x:c>
      <x:c r="C90" s="31" t="s">
        <x:v>538</x:v>
      </x:c>
      <x:c r="D90" s="36">
        <x:v>19</x:v>
      </x:c>
      <x:c r="E90" s="31" t="s">
        <x:v>539</x:v>
      </x:c>
      <x:c r="F90" s="31" t="s">
        <x:v>540</x:v>
      </x:c>
      <x:c r="G90" s="31" t="s">
        <x:v>541</x:v>
      </x:c>
      <x:c r="H90" s="31" t="s">
        <x:v>39</x:v>
      </x:c>
      <x:c r="I90" s="31" t="s">
        <x:v>40</x:v>
      </x:c>
      <x:c r="J90" s="31" t="s">
        <x:v>41</x:v>
      </x:c>
      <x:c r="K90" s="37" t="s">
        <x:v>42</x:v>
      </x:c>
    </x:row>
    <x:row r="91" ht="40.5">
      <x:c r="A91" s="34" t="s">
        <x:v>542</x:v>
      </x:c>
      <x:c r="B91" s="35" t="s">
        <x:v>12</x:v>
      </x:c>
      <x:c r="C91" s="31" t="s">
        <x:v>543</x:v>
      </x:c>
      <x:c r="D91" s="36" t="s">
        <x:v>544</x:v>
      </x:c>
      <x:c r="E91" s="31" t="s">
        <x:v>545</x:v>
      </x:c>
      <x:c r="F91" s="31" t="s">
        <x:v>531</x:v>
      </x:c>
      <x:c r="G91" s="31" t="s">
        <x:v>546</x:v>
      </x:c>
      <x:c r="H91" s="31" t="s">
        <x:v>39</x:v>
      </x:c>
      <x:c r="I91" s="31" t="s">
        <x:v>40</x:v>
      </x:c>
      <x:c r="J91" s="31" t="s">
        <x:v>41</x:v>
      </x:c>
      <x:c r="K91" s="37" t="s">
        <x:v>42</x:v>
      </x:c>
    </x:row>
    <x:row r="92" ht="40.5">
      <x:c r="A92" s="34" t="s">
        <x:v>547</x:v>
      </x:c>
      <x:c r="B92" s="35" t="s">
        <x:v>12</x:v>
      </x:c>
      <x:c r="C92" s="31" t="s">
        <x:v>548</x:v>
      </x:c>
      <x:c r="D92" s="36">
        <x:v>14</x:v>
      </x:c>
      <x:c r="E92" s="31" t="s">
        <x:v>549</x:v>
      </x:c>
      <x:c r="F92" s="31" t="s">
        <x:v>513</x:v>
      </x:c>
      <x:c r="G92" s="31" t="s">
        <x:v>550</x:v>
      </x:c>
      <x:c r="H92" s="31" t="s">
        <x:v>39</x:v>
      </x:c>
      <x:c r="I92" s="31" t="s">
        <x:v>40</x:v>
      </x:c>
      <x:c r="J92" s="31" t="s">
        <x:v>41</x:v>
      </x:c>
      <x:c r="K92" s="37" t="s">
        <x:v>42</x:v>
      </x:c>
    </x:row>
    <x:row r="93" ht="40.5">
      <x:c r="A93" s="34" t="s">
        <x:v>551</x:v>
      </x:c>
      <x:c r="B93" s="35" t="s">
        <x:v>12</x:v>
      </x:c>
      <x:c r="C93" s="31" t="s">
        <x:v>552</x:v>
      </x:c>
      <x:c r="D93" s="36">
        <x:v>19</x:v>
      </x:c>
      <x:c r="E93" s="31" t="s">
        <x:v>553</x:v>
      </x:c>
      <x:c r="F93" s="31" t="s">
        <x:v>540</x:v>
      </x:c>
      <x:c r="G93" s="31" t="s">
        <x:v>550</x:v>
      </x:c>
      <x:c r="H93" s="31" t="s">
        <x:v>39</x:v>
      </x:c>
      <x:c r="I93" s="31" t="s">
        <x:v>40</x:v>
      </x:c>
      <x:c r="J93" s="31" t="s">
        <x:v>41</x:v>
      </x:c>
      <x:c r="K93" s="37" t="s">
        <x:v>42</x:v>
      </x:c>
    </x:row>
    <x:row r="94" ht="40.5">
      <x:c r="A94" s="34" t="s">
        <x:v>554</x:v>
      </x:c>
      <x:c r="B94" s="35" t="s">
        <x:v>15</x:v>
      </x:c>
      <x:c r="C94" s="31" t="s">
        <x:v>555</x:v>
      </x:c>
      <x:c r="D94" s="31" t="s">
        <x:v>556</x:v>
      </x:c>
      <x:c r="E94" s="31" t="s">
        <x:v>557</x:v>
      </x:c>
      <x:c r="F94" s="31" t="s">
        <x:v>558</x:v>
      </x:c>
      <x:c r="G94" s="31" t="s">
        <x:v>559</x:v>
      </x:c>
      <x:c r="H94" s="31" t="s">
        <x:v>82</x:v>
      </x:c>
      <x:c r="I94" s="31" t="s">
        <x:v>560</x:v>
      </x:c>
      <x:c r="J94" s="31" t="s">
        <x:v>561</x:v>
      </x:c>
      <x:c r="K94" s="37" t="s">
        <x:v>84</x:v>
      </x:c>
    </x:row>
    <x:row r="95" ht="40.5">
      <x:c r="A95" s="34" t="s">
        <x:v>562</x:v>
      </x:c>
      <x:c r="B95" s="35" t="s">
        <x:v>10</x:v>
      </x:c>
      <x:c r="C95" s="31" t="s">
        <x:v>563</x:v>
      </x:c>
      <x:c r="D95" s="31" t="s">
        <x:v>564</x:v>
      </x:c>
      <x:c r="E95" s="31" t="s">
        <x:v>565</x:v>
      </x:c>
      <x:c r="F95" s="31" t="s">
        <x:v>566</x:v>
      </x:c>
      <x:c r="G95" s="31" t="s">
        <x:v>567</x:v>
      </x:c>
      <x:c r="H95" s="31" t="s">
        <x:v>82</x:v>
      </x:c>
      <x:c r="I95" s="31" t="s">
        <x:v>560</x:v>
      </x:c>
      <x:c r="J95" s="31" t="s">
        <x:v>561</x:v>
      </x:c>
      <x:c r="K95" s="37" t="s">
        <x:v>84</x:v>
      </x:c>
    </x:row>
    <x:row r="96" ht="40.5">
      <x:c r="A96" s="34" t="s">
        <x:v>568</x:v>
      </x:c>
      <x:c r="B96" s="35" t="s">
        <x:v>14</x:v>
      </x:c>
      <x:c r="C96" s="31" t="s">
        <x:v>569</x:v>
      </x:c>
      <x:c r="D96" s="31" t="s">
        <x:v>570</x:v>
      </x:c>
      <x:c r="E96" s="31" t="s">
        <x:v>571</x:v>
      </x:c>
      <x:c r="F96" s="31" t="s">
        <x:v>572</x:v>
      </x:c>
      <x:c r="G96" s="31" t="s">
        <x:v>573</x:v>
      </x:c>
      <x:c r="H96" s="31" t="s">
        <x:v>82</x:v>
      </x:c>
      <x:c r="I96" s="31" t="s">
        <x:v>560</x:v>
      </x:c>
      <x:c r="J96" s="31" t="s">
        <x:v>561</x:v>
      </x:c>
      <x:c r="K96" s="37" t="s">
        <x:v>84</x:v>
      </x:c>
    </x:row>
    <x:row r="97" ht="40.5">
      <x:c r="A97" s="40" t="s">
        <x:v>574</x:v>
      </x:c>
      <x:c r="B97" s="41" t="s">
        <x:v>16</x:v>
      </x:c>
      <x:c r="C97" s="33" t="s">
        <x:v>575</x:v>
      </x:c>
      <x:c r="D97" s="33" t="s">
        <x:v>576</x:v>
      </x:c>
      <x:c r="E97" s="33" t="s">
        <x:v>577</x:v>
      </x:c>
      <x:c r="F97" s="33" t="s">
        <x:v>578</x:v>
      </x:c>
      <x:c r="G97" s="33" t="s">
        <x:v>579</x:v>
      </x:c>
      <x:c r="H97" s="33" t="s">
        <x:v>345</x:v>
      </x:c>
      <x:c r="I97" s="33" t="s">
        <x:v>560</x:v>
      </x:c>
      <x:c r="J97" s="33" t="s">
        <x:v>561</x:v>
      </x:c>
      <x:c r="K97" s="42" t="s">
        <x:v>346</x:v>
      </x:c>
    </x:row>
    <x:row r="98" ht="27">
      <x:c r="A98" s="40" t="s">
        <x:v>580</x:v>
      </x:c>
      <x:c r="B98" s="41" t="s">
        <x:v>17</x:v>
      </x:c>
      <x:c r="C98" s="48" t="s">
        <x:v>581</x:v>
      </x:c>
      <x:c r="D98" s="48" t="s">
        <x:v>582</x:v>
      </x:c>
      <x:c r="E98" s="48" t="s">
        <x:v>583</x:v>
      </x:c>
      <x:c r="F98" s="48" t="s">
        <x:v>584</x:v>
      </x:c>
      <x:c r="G98" s="48" t="s">
        <x:v>585</x:v>
      </x:c>
      <x:c r="H98" s="48" t="s">
        <x:v>82</x:v>
      </x:c>
      <x:c r="I98" s="48" t="s">
        <x:v>586</x:v>
      </x:c>
      <x:c r="J98" s="48" t="s">
        <x:v>587</x:v>
      </x:c>
      <x:c r="K98" s="49" t="s">
        <x:v>588</x:v>
      </x:c>
    </x:row>
    <x:row r="99" ht="27">
      <x:c r="A99" s="40" t="s">
        <x:v>589</x:v>
      </x:c>
      <x:c r="B99" s="41" t="s">
        <x:v>10</x:v>
      </x:c>
      <x:c r="C99" s="48" t="s">
        <x:v>34</x:v>
      </x:c>
      <x:c r="D99" s="48" t="s">
        <x:v>590</x:v>
      </x:c>
      <x:c r="E99" s="48" t="s">
        <x:v>591</x:v>
      </x:c>
      <x:c r="F99" s="48" t="s">
        <x:v>592</x:v>
      </x:c>
      <x:c r="G99" s="48" t="s">
        <x:v>593</x:v>
      </x:c>
      <x:c r="H99" s="48" t="s">
        <x:v>82</x:v>
      </x:c>
      <x:c r="I99" s="48" t="s">
        <x:v>586</x:v>
      </x:c>
      <x:c r="J99" s="48" t="s">
        <x:v>594</x:v>
      </x:c>
      <x:c r="K99" s="49" t="s">
        <x:v>595</x:v>
      </x:c>
    </x:row>
    <x:row r="100" ht="27">
      <x:c r="A100" s="40" t="s">
        <x:v>596</x:v>
      </x:c>
      <x:c r="B100" s="41" t="s">
        <x:v>10</x:v>
      </x:c>
      <x:c r="C100" s="48" t="s">
        <x:v>34</x:v>
      </x:c>
      <x:c r="D100" s="48" t="s">
        <x:v>597</x:v>
      </x:c>
      <x:c r="E100" s="48" t="s">
        <x:v>598</x:v>
      </x:c>
      <x:c r="F100" s="48" t="s">
        <x:v>599</x:v>
      </x:c>
      <x:c r="G100" s="48" t="s">
        <x:v>600</x:v>
      </x:c>
      <x:c r="H100" s="48" t="s">
        <x:v>82</x:v>
      </x:c>
      <x:c r="I100" s="48" t="s">
        <x:v>586</x:v>
      </x:c>
      <x:c r="J100" s="48" t="s">
        <x:v>601</x:v>
      </x:c>
      <x:c r="K100" s="49" t="s">
        <x:v>602</x:v>
      </x:c>
    </x:row>
    <x:row r="101" ht="27">
      <x:c r="A101" s="40" t="s">
        <x:v>603</x:v>
      </x:c>
      <x:c r="B101" s="41" t="s">
        <x:v>15</x:v>
      </x:c>
      <x:c r="C101" s="48" t="s">
        <x:v>103</x:v>
      </x:c>
      <x:c r="D101" s="48" t="s">
        <x:v>604</x:v>
      </x:c>
      <x:c r="E101" s="48" t="s">
        <x:v>605</x:v>
      </x:c>
      <x:c r="F101" s="48" t="s">
        <x:v>606</x:v>
      </x:c>
      <x:c r="G101" s="48" t="s">
        <x:v>607</x:v>
      </x:c>
      <x:c r="H101" s="48" t="s">
        <x:v>64</x:v>
      </x:c>
      <x:c r="I101" s="48" t="s">
        <x:v>586</x:v>
      </x:c>
      <x:c r="J101" s="48" t="s">
        <x:v>608</x:v>
      </x:c>
      <x:c r="K101" s="49" t="s">
        <x:v>609</x:v>
      </x:c>
    </x:row>
    <x:row r="102" ht="27">
      <x:c r="A102" s="40" t="s">
        <x:v>610</x:v>
      </x:c>
      <x:c r="B102" s="41" t="s">
        <x:v>10</x:v>
      </x:c>
      <x:c r="C102" s="48" t="s">
        <x:v>59</x:v>
      </x:c>
      <x:c r="D102" s="48" t="s">
        <x:v>611</x:v>
      </x:c>
      <x:c r="E102" s="48" t="s">
        <x:v>612</x:v>
      </x:c>
      <x:c r="F102" s="48" t="s">
        <x:v>613</x:v>
      </x:c>
      <x:c r="G102" s="48" t="s">
        <x:v>614</x:v>
      </x:c>
      <x:c r="H102" s="48" t="s">
        <x:v>82</x:v>
      </x:c>
      <x:c r="I102" s="48" t="s">
        <x:v>586</x:v>
      </x:c>
      <x:c r="J102" s="48" t="s">
        <x:v>615</x:v>
      </x:c>
      <x:c r="K102" s="49" t="s">
        <x:v>616</x:v>
      </x:c>
    </x:row>
    <x:row r="103" ht="40.5">
      <x:c r="A103" s="40" t="s">
        <x:v>617</x:v>
      </x:c>
      <x:c r="B103" s="41" t="s">
        <x:v>10</x:v>
      </x:c>
      <x:c r="C103" s="48" t="s">
        <x:v>618</x:v>
      </x:c>
      <x:c r="D103" s="48" t="s">
        <x:v>619</x:v>
      </x:c>
      <x:c r="E103" s="48" t="s">
        <x:v>620</x:v>
      </x:c>
      <x:c r="F103" s="48" t="s">
        <x:v>621</x:v>
      </x:c>
      <x:c r="G103" s="48" t="s">
        <x:v>622</x:v>
      </x:c>
      <x:c r="H103" s="48" t="s">
        <x:v>64</x:v>
      </x:c>
      <x:c r="I103" s="48" t="s">
        <x:v>586</x:v>
      </x:c>
      <x:c r="J103" s="48" t="s">
        <x:v>623</x:v>
      </x:c>
      <x:c r="K103" s="49" t="s">
        <x:v>624</x:v>
      </x:c>
    </x:row>
    <x:row r="104" ht="27">
      <x:c r="A104" s="40" t="s">
        <x:v>625</x:v>
      </x:c>
      <x:c r="B104" s="41" t="s">
        <x:v>10</x:v>
      </x:c>
      <x:c r="C104" s="48" t="s">
        <x:v>626</x:v>
      </x:c>
      <x:c r="D104" s="48" t="s">
        <x:v>627</x:v>
      </x:c>
      <x:c r="E104" s="48" t="s">
        <x:v>628</x:v>
      </x:c>
      <x:c r="F104" s="48" t="s">
        <x:v>629</x:v>
      </x:c>
      <x:c r="G104" s="48" t="s">
        <x:v>630</x:v>
      </x:c>
      <x:c r="H104" s="48" t="s">
        <x:v>82</x:v>
      </x:c>
      <x:c r="I104" s="48" t="s">
        <x:v>586</x:v>
      </x:c>
      <x:c r="J104" s="48" t="s">
        <x:v>631</x:v>
      </x:c>
      <x:c r="K104" s="49" t="s">
        <x:v>632</x:v>
      </x:c>
    </x:row>
    <x:row r="105" ht="27">
      <x:c r="A105" s="40" t="s">
        <x:v>633</x:v>
      </x:c>
      <x:c r="B105" s="41" t="s">
        <x:v>10</x:v>
      </x:c>
      <x:c r="C105" s="48" t="s">
        <x:v>634</x:v>
      </x:c>
      <x:c r="D105" s="48" t="s">
        <x:v>635</x:v>
      </x:c>
      <x:c r="E105" s="48" t="s">
        <x:v>636</x:v>
      </x:c>
      <x:c r="F105" s="48" t="s">
        <x:v>637</x:v>
      </x:c>
      <x:c r="G105" s="48" t="s">
        <x:v>638</x:v>
      </x:c>
      <x:c r="H105" s="48" t="s">
        <x:v>82</x:v>
      </x:c>
      <x:c r="I105" s="48" t="s">
        <x:v>586</x:v>
      </x:c>
      <x:c r="J105" s="48" t="s">
        <x:v>639</x:v>
      </x:c>
      <x:c r="K105" s="49" t="s">
        <x:v>640</x:v>
      </x:c>
    </x:row>
    <x:row r="106" ht="27">
      <x:c r="A106" s="40" t="s">
        <x:v>641</x:v>
      </x:c>
      <x:c r="B106" s="41" t="s">
        <x:v>16</x:v>
      </x:c>
      <x:c r="C106" s="50" t="s">
        <x:v>642</x:v>
      </x:c>
      <x:c r="D106" s="50" t="s">
        <x:v>643</x:v>
      </x:c>
      <x:c r="E106" s="50" t="s">
        <x:v>644</x:v>
      </x:c>
      <x:c r="F106" s="50" t="s">
        <x:v>645</x:v>
      </x:c>
      <x:c r="G106" s="50" t="s">
        <x:v>646</x:v>
      </x:c>
      <x:c r="H106" s="50" t="s">
        <x:v>345</x:v>
      </x:c>
      <x:c r="I106" s="50" t="s">
        <x:v>586</x:v>
      </x:c>
      <x:c r="J106" s="50" t="s">
        <x:v>647</x:v>
      </x:c>
      <x:c r="K106" s="51" t="s">
        <x:v>648</x:v>
      </x:c>
    </x:row>
    <x:row r="107" ht="27">
      <x:c r="A107" s="40" t="s">
        <x:v>649</x:v>
      </x:c>
      <x:c r="B107" s="41" t="s">
        <x:v>17</x:v>
      </x:c>
      <x:c r="C107" s="50" t="s">
        <x:v>650</x:v>
      </x:c>
      <x:c r="D107" s="50" t="s">
        <x:v>651</x:v>
      </x:c>
      <x:c r="E107" s="50" t="s">
        <x:v>652</x:v>
      </x:c>
      <x:c r="F107" s="50" t="s">
        <x:v>653</x:v>
      </x:c>
      <x:c r="G107" s="50" t="s">
        <x:v>654</x:v>
      </x:c>
      <x:c r="H107" s="50" t="s">
        <x:v>82</x:v>
      </x:c>
      <x:c r="I107" s="50" t="s">
        <x:v>655</x:v>
      </x:c>
      <x:c r="J107" s="50" t="s">
        <x:v>656</x:v>
      </x:c>
      <x:c r="K107" s="51" t="s">
        <x:v>657</x:v>
      </x:c>
    </x:row>
    <x:row r="108" ht="27">
      <x:c r="A108" s="40" t="s">
        <x:v>658</x:v>
      </x:c>
      <x:c r="B108" s="41" t="s">
        <x:v>10</x:v>
      </x:c>
      <x:c r="C108" s="50" t="s">
        <x:v>34</x:v>
      </x:c>
      <x:c r="D108" s="50" t="s">
        <x:v>659</x:v>
      </x:c>
      <x:c r="E108" s="50" t="s">
        <x:v>660</x:v>
      </x:c>
      <x:c r="F108" s="50" t="s">
        <x:v>661</x:v>
      </x:c>
      <x:c r="G108" s="50" t="s">
        <x:v>662</x:v>
      </x:c>
      <x:c r="H108" s="50" t="s">
        <x:v>82</x:v>
      </x:c>
      <x:c r="I108" s="50" t="s">
        <x:v>655</x:v>
      </x:c>
      <x:c r="J108" s="50" t="s">
        <x:v>663</x:v>
      </x:c>
      <x:c r="K108" s="51" t="s">
        <x:v>664</x:v>
      </x:c>
    </x:row>
    <x:row r="109" ht="27">
      <x:c r="A109" s="40" t="s">
        <x:v>665</x:v>
      </x:c>
      <x:c r="B109" s="41" t="s">
        <x:v>15</x:v>
      </x:c>
      <x:c r="C109" s="50" t="s">
        <x:v>103</x:v>
      </x:c>
      <x:c r="D109" s="50" t="s">
        <x:v>666</x:v>
      </x:c>
      <x:c r="E109" s="50" t="s">
        <x:v>667</x:v>
      </x:c>
      <x:c r="F109" s="50" t="s">
        <x:v>668</x:v>
      </x:c>
      <x:c r="G109" s="50" t="s">
        <x:v>669</x:v>
      </x:c>
      <x:c r="H109" s="50" t="s">
        <x:v>64</x:v>
      </x:c>
      <x:c r="I109" s="50" t="s">
        <x:v>655</x:v>
      </x:c>
      <x:c r="J109" s="50" t="s">
        <x:v>656</x:v>
      </x:c>
      <x:c r="K109" s="51" t="s">
        <x:v>670</x:v>
      </x:c>
    </x:row>
    <x:row r="110" ht="27">
      <x:c r="A110" s="40" t="s">
        <x:v>671</x:v>
      </x:c>
      <x:c r="B110" s="41" t="s">
        <x:v>10</x:v>
      </x:c>
      <x:c r="C110" s="50" t="s">
        <x:v>59</x:v>
      </x:c>
      <x:c r="D110" s="50" t="s">
        <x:v>672</x:v>
      </x:c>
      <x:c r="E110" s="50" t="s">
        <x:v>673</x:v>
      </x:c>
      <x:c r="F110" s="50" t="s">
        <x:v>674</x:v>
      </x:c>
      <x:c r="G110" s="50" t="s">
        <x:v>675</x:v>
      </x:c>
      <x:c r="H110" s="50" t="s">
        <x:v>82</x:v>
      </x:c>
      <x:c r="I110" s="50" t="s">
        <x:v>655</x:v>
      </x:c>
      <x:c r="J110" s="50" t="s">
        <x:v>676</x:v>
      </x:c>
      <x:c r="K110" s="51" t="s">
        <x:v>677</x:v>
      </x:c>
    </x:row>
    <x:row r="111" ht="40.5">
      <x:c r="A111" s="40" t="s">
        <x:v>678</x:v>
      </x:c>
      <x:c r="B111" s="41" t="s">
        <x:v>10</x:v>
      </x:c>
      <x:c r="C111" s="50" t="s">
        <x:v>679</x:v>
      </x:c>
      <x:c r="D111" s="50" t="s">
        <x:v>680</x:v>
      </x:c>
      <x:c r="E111" s="50" t="s">
        <x:v>681</x:v>
      </x:c>
      <x:c r="F111" s="50" t="s">
        <x:v>682</x:v>
      </x:c>
      <x:c r="G111" s="50" t="s">
        <x:v>683</x:v>
      </x:c>
      <x:c r="H111" s="50" t="s">
        <x:v>82</x:v>
      </x:c>
      <x:c r="I111" s="50" t="s">
        <x:v>655</x:v>
      </x:c>
      <x:c r="J111" s="50" t="s">
        <x:v>663</x:v>
      </x:c>
      <x:c r="K111" s="51" t="s">
        <x:v>684</x:v>
      </x:c>
    </x:row>
    <x:row r="112" ht="27">
      <x:c r="A112" s="40" t="s">
        <x:v>685</x:v>
      </x:c>
      <x:c r="B112" s="41" t="s">
        <x:v>16</x:v>
      </x:c>
      <x:c r="C112" s="50" t="s">
        <x:v>686</x:v>
      </x:c>
      <x:c r="D112" s="50" t="s">
        <x:v>687</x:v>
      </x:c>
      <x:c r="E112" s="50" t="s">
        <x:v>688</x:v>
      </x:c>
      <x:c r="F112" s="50" t="s">
        <x:v>689</x:v>
      </x:c>
      <x:c r="G112" s="50" t="s">
        <x:v>690</x:v>
      </x:c>
      <x:c r="H112" s="50" t="s">
        <x:v>345</x:v>
      </x:c>
      <x:c r="I112" s="50" t="s">
        <x:v>655</x:v>
      </x:c>
      <x:c r="J112" s="50" t="s">
        <x:v>691</x:v>
      </x:c>
      <x:c r="K112" s="51" t="s">
        <x:v>692</x:v>
      </x:c>
    </x:row>
    <x:row r="113" ht="27">
      <x:c r="A113" s="40" t="s">
        <x:v>693</x:v>
      </x:c>
      <x:c r="B113" s="41" t="s">
        <x:v>15</x:v>
      </x:c>
      <x:c r="C113" s="50" t="s">
        <x:v>694</x:v>
      </x:c>
      <x:c r="D113" s="50" t="s">
        <x:v>695</x:v>
      </x:c>
      <x:c r="E113" s="50" t="s">
        <x:v>696</x:v>
      </x:c>
      <x:c r="F113" s="50" t="s">
        <x:v>697</x:v>
      </x:c>
      <x:c r="G113" s="50" t="s">
        <x:v>698</x:v>
      </x:c>
      <x:c r="H113" s="50" t="s">
        <x:v>64</x:v>
      </x:c>
      <x:c r="I113" s="50" t="s">
        <x:v>655</x:v>
      </x:c>
      <x:c r="J113" s="50" t="s">
        <x:v>699</x:v>
      </x:c>
      <x:c r="K113" s="51" t="s">
        <x:v>700</x:v>
      </x:c>
    </x:row>
    <x:row r="114" ht="27">
      <x:c r="A114" s="40" t="s">
        <x:v>701</x:v>
      </x:c>
      <x:c r="B114" s="41" t="s">
        <x:v>13</x:v>
      </x:c>
      <x:c r="C114" s="50" t="s">
        <x:v>702</x:v>
      </x:c>
      <x:c r="D114" s="50" t="s">
        <x:v>703</x:v>
      </x:c>
      <x:c r="E114" s="50" t="s">
        <x:v>704</x:v>
      </x:c>
      <x:c r="F114" s="50" t="s">
        <x:v>705</x:v>
      </x:c>
      <x:c r="G114" s="50" t="s">
        <x:v>706</x:v>
      </x:c>
      <x:c r="H114" s="50" t="s">
        <x:v>345</x:v>
      </x:c>
      <x:c r="I114" s="50" t="s">
        <x:v>655</x:v>
      </x:c>
      <x:c r="J114" s="50" t="s">
        <x:v>691</x:v>
      </x:c>
      <x:c r="K114" s="51" t="s">
        <x:v>707</x:v>
      </x:c>
    </x:row>
    <x:row r="115" ht="40.5">
      <x:c r="A115" s="40" t="s">
        <x:v>708</x:v>
      </x:c>
      <x:c r="B115" s="41" t="s">
        <x:v>16</x:v>
      </x:c>
      <x:c r="C115" s="50" t="s">
        <x:v>709</x:v>
      </x:c>
      <x:c r="D115" s="50" t="s">
        <x:v>710</x:v>
      </x:c>
      <x:c r="E115" s="50" t="s">
        <x:v>711</x:v>
      </x:c>
      <x:c r="F115" s="50" t="s">
        <x:v>712</x:v>
      </x:c>
      <x:c r="G115" s="50" t="s">
        <x:v>713</x:v>
      </x:c>
      <x:c r="H115" s="50" t="s">
        <x:v>345</x:v>
      </x:c>
      <x:c r="I115" s="50" t="s">
        <x:v>655</x:v>
      </x:c>
      <x:c r="J115" s="50" t="s">
        <x:v>691</x:v>
      </x:c>
      <x:c r="K115" s="51" t="s">
        <x:v>714</x:v>
      </x:c>
    </x:row>
    <x:row r="116" ht="27">
      <x:c r="A116" s="40" t="s">
        <x:v>715</x:v>
      </x:c>
      <x:c r="B116" s="41" t="s">
        <x:v>10</x:v>
      </x:c>
      <x:c r="C116" s="50" t="s">
        <x:v>716</x:v>
      </x:c>
      <x:c r="D116" s="50" t="s">
        <x:v>717</x:v>
      </x:c>
      <x:c r="E116" s="50" t="s">
        <x:v>718</x:v>
      </x:c>
      <x:c r="F116" s="50" t="s">
        <x:v>719</x:v>
      </x:c>
      <x:c r="G116" s="50" t="s">
        <x:v>720</x:v>
      </x:c>
      <x:c r="H116" s="50" t="s">
        <x:v>82</x:v>
      </x:c>
      <x:c r="I116" s="50" t="s">
        <x:v>721</x:v>
      </x:c>
      <x:c r="J116" s="50" t="s">
        <x:v>722</x:v>
      </x:c>
      <x:c r="K116" s="51" t="s">
        <x:v>723</x:v>
      </x:c>
    </x:row>
    <x:row r="117" ht="40.5">
      <x:c r="A117" s="40" t="s">
        <x:v>724</x:v>
      </x:c>
      <x:c r="B117" s="41" t="s">
        <x:v>15</x:v>
      </x:c>
      <x:c r="C117" s="50" t="s">
        <x:v>103</x:v>
      </x:c>
      <x:c r="D117" s="50" t="s">
        <x:v>725</x:v>
      </x:c>
      <x:c r="E117" s="50" t="s">
        <x:v>726</x:v>
      </x:c>
      <x:c r="F117" s="50" t="s">
        <x:v>727</x:v>
      </x:c>
      <x:c r="G117" s="50" t="s">
        <x:v>728</x:v>
      </x:c>
      <x:c r="H117" s="50" t="s">
        <x:v>64</x:v>
      </x:c>
      <x:c r="I117" s="50" t="s">
        <x:v>721</x:v>
      </x:c>
      <x:c r="J117" s="50" t="s">
        <x:v>722</x:v>
      </x:c>
      <x:c r="K117" s="51" t="s">
        <x:v>729</x:v>
      </x:c>
    </x:row>
    <x:row r="118" ht="27">
      <x:c r="A118" s="40" t="s">
        <x:v>730</x:v>
      </x:c>
      <x:c r="B118" s="41" t="s">
        <x:v>10</x:v>
      </x:c>
      <x:c r="C118" s="50" t="s">
        <x:v>59</x:v>
      </x:c>
      <x:c r="D118" s="50" t="s">
        <x:v>731</x:v>
      </x:c>
      <x:c r="E118" s="50" t="s">
        <x:v>732</x:v>
      </x:c>
      <x:c r="F118" s="50" t="s">
        <x:v>733</x:v>
      </x:c>
      <x:c r="G118" s="50" t="s">
        <x:v>734</x:v>
      </x:c>
      <x:c r="H118" s="50" t="s">
        <x:v>82</x:v>
      </x:c>
      <x:c r="I118" s="50" t="s">
        <x:v>721</x:v>
      </x:c>
      <x:c r="J118" s="50" t="s">
        <x:v>735</x:v>
      </x:c>
      <x:c r="K118" s="51" t="s">
        <x:v>736</x:v>
      </x:c>
    </x:row>
    <x:row r="119" ht="40.5">
      <x:c r="A119" s="40" t="s">
        <x:v>737</x:v>
      </x:c>
      <x:c r="B119" s="41" t="s">
        <x:v>10</x:v>
      </x:c>
      <x:c r="C119" s="50" t="s">
        <x:v>738</x:v>
      </x:c>
      <x:c r="D119" s="50" t="s">
        <x:v>739</x:v>
      </x:c>
      <x:c r="E119" s="50" t="s">
        <x:v>740</x:v>
      </x:c>
      <x:c r="F119" s="50" t="s">
        <x:v>741</x:v>
      </x:c>
      <x:c r="G119" s="50" t="s">
        <x:v>742</x:v>
      </x:c>
      <x:c r="H119" s="50" t="s">
        <x:v>82</x:v>
      </x:c>
      <x:c r="I119" s="50" t="s">
        <x:v>721</x:v>
      </x:c>
      <x:c r="J119" s="50" t="s">
        <x:v>743</x:v>
      </x:c>
      <x:c r="K119" s="51" t="s">
        <x:v>684</x:v>
      </x:c>
    </x:row>
    <x:row r="120" ht="54">
      <x:c r="A120" s="40" t="s">
        <x:v>744</x:v>
      </x:c>
      <x:c r="B120" s="41" t="s">
        <x:v>11</x:v>
      </x:c>
      <x:c r="C120" s="50" t="s">
        <x:v>376</x:v>
      </x:c>
      <x:c r="D120" s="50" t="s">
        <x:v>745</x:v>
      </x:c>
      <x:c r="E120" s="50" t="s">
        <x:v>746</x:v>
      </x:c>
      <x:c r="F120" s="50" t="s">
        <x:v>747</x:v>
      </x:c>
      <x:c r="G120" s="50" t="s">
        <x:v>748</x:v>
      </x:c>
      <x:c r="H120" s="50" t="s">
        <x:v>82</x:v>
      </x:c>
      <x:c r="I120" s="50" t="s">
        <x:v>721</x:v>
      </x:c>
      <x:c r="J120" s="50" t="s">
        <x:v>722</x:v>
      </x:c>
      <x:c r="K120" s="51" t="s">
        <x:v>749</x:v>
      </x:c>
    </x:row>
    <x:row r="121" ht="27">
      <x:c r="A121" s="40" t="s">
        <x:v>750</x:v>
      </x:c>
      <x:c r="B121" s="41" t="s">
        <x:v>16</x:v>
      </x:c>
      <x:c r="C121" s="50" t="s">
        <x:v>751</x:v>
      </x:c>
      <x:c r="D121" s="50" t="s">
        <x:v>752</x:v>
      </x:c>
      <x:c r="E121" s="50" t="s">
        <x:v>753</x:v>
      </x:c>
      <x:c r="F121" s="50" t="s">
        <x:v>754</x:v>
      </x:c>
      <x:c r="G121" s="50" t="s">
        <x:v>755</x:v>
      </x:c>
      <x:c r="H121" s="50" t="s">
        <x:v>345</x:v>
      </x:c>
      <x:c r="I121" s="50" t="s">
        <x:v>721</x:v>
      </x:c>
      <x:c r="J121" s="50" t="s">
        <x:v>756</x:v>
      </x:c>
      <x:c r="K121" s="51" t="s">
        <x:v>757</x:v>
      </x:c>
    </x:row>
    <x:row r="122" ht="27">
      <x:c r="A122" s="40" t="s">
        <x:v>758</x:v>
      </x:c>
      <x:c r="B122" s="41" t="s">
        <x:v>13</x:v>
      </x:c>
      <x:c r="C122" s="50" t="s">
        <x:v>759</x:v>
      </x:c>
      <x:c r="D122" s="50" t="s">
        <x:v>760</x:v>
      </x:c>
      <x:c r="E122" s="50" t="s">
        <x:v>761</x:v>
      </x:c>
      <x:c r="F122" s="50" t="s">
        <x:v>762</x:v>
      </x:c>
      <x:c r="G122" s="50" t="s">
        <x:v>763</x:v>
      </x:c>
      <x:c r="H122" s="50" t="s">
        <x:v>345</x:v>
      </x:c>
      <x:c r="I122" s="50" t="s">
        <x:v>721</x:v>
      </x:c>
      <x:c r="J122" s="50" t="s">
        <x:v>756</x:v>
      </x:c>
      <x:c r="K122" s="51" t="s">
        <x:v>764</x:v>
      </x:c>
    </x:row>
    <x:row r="123" ht="40.5">
      <x:c r="A123" s="40" t="s">
        <x:v>765</x:v>
      </x:c>
      <x:c r="B123" s="41" t="s">
        <x:v>16</x:v>
      </x:c>
      <x:c r="C123" s="50" t="s">
        <x:v>766</x:v>
      </x:c>
      <x:c r="D123" s="50" t="s">
        <x:v>767</x:v>
      </x:c>
      <x:c r="E123" s="50" t="s">
        <x:v>768</x:v>
      </x:c>
      <x:c r="F123" s="50" t="s">
        <x:v>769</x:v>
      </x:c>
      <x:c r="G123" s="50" t="s">
        <x:v>770</x:v>
      </x:c>
      <x:c r="H123" s="50" t="s">
        <x:v>345</x:v>
      </x:c>
      <x:c r="I123" s="50" t="s">
        <x:v>721</x:v>
      </x:c>
      <x:c r="J123" s="50" t="s">
        <x:v>756</x:v>
      </x:c>
      <x:c r="K123" s="51" t="s">
        <x:v>771</x:v>
      </x:c>
    </x:row>
    <x:row r="124" ht="27">
      <x:c r="A124" s="40" t="s">
        <x:v>772</x:v>
      </x:c>
      <x:c r="B124" s="41" t="s">
        <x:v>10</x:v>
      </x:c>
      <x:c r="C124" s="50" t="s">
        <x:v>34</x:v>
      </x:c>
      <x:c r="D124" s="50" t="s">
        <x:v>773</x:v>
      </x:c>
      <x:c r="E124" s="50" t="s">
        <x:v>774</x:v>
      </x:c>
      <x:c r="F124" s="50" t="s">
        <x:v>775</x:v>
      </x:c>
      <x:c r="G124" s="50" t="s">
        <x:v>776</x:v>
      </x:c>
      <x:c r="H124" s="50" t="s">
        <x:v>39</x:v>
      </x:c>
      <x:c r="I124" s="50" t="s">
        <x:v>777</x:v>
      </x:c>
      <x:c r="J124" s="50" t="s">
        <x:v>778</x:v>
      </x:c>
      <x:c r="K124" s="51" t="s">
        <x:v>779</x:v>
      </x:c>
    </x:row>
    <x:row r="125" ht="40.5">
      <x:c r="A125" s="40" t="s">
        <x:v>780</x:v>
      </x:c>
      <x:c r="B125" s="41" t="s">
        <x:v>10</x:v>
      </x:c>
      <x:c r="C125" s="50" t="s">
        <x:v>34</x:v>
      </x:c>
      <x:c r="D125" s="50" t="s">
        <x:v>781</x:v>
      </x:c>
      <x:c r="E125" s="50" t="s">
        <x:v>782</x:v>
      </x:c>
      <x:c r="F125" s="50" t="s">
        <x:v>783</x:v>
      </x:c>
      <x:c r="G125" s="50" t="s">
        <x:v>784</x:v>
      </x:c>
      <x:c r="H125" s="50" t="s">
        <x:v>82</x:v>
      </x:c>
      <x:c r="I125" s="50" t="s">
        <x:v>777</x:v>
      </x:c>
      <x:c r="J125" s="50" t="s">
        <x:v>785</x:v>
      </x:c>
      <x:c r="K125" s="51" t="s">
        <x:v>786</x:v>
      </x:c>
    </x:row>
    <x:row r="126" ht="40.5">
      <x:c r="A126" s="40" t="s">
        <x:v>787</x:v>
      </x:c>
      <x:c r="B126" s="41" t="s">
        <x:v>10</x:v>
      </x:c>
      <x:c r="C126" s="50" t="s">
        <x:v>788</x:v>
      </x:c>
      <x:c r="D126" s="50" t="s">
        <x:v>789</x:v>
      </x:c>
      <x:c r="E126" s="50" t="s">
        <x:v>790</x:v>
      </x:c>
      <x:c r="F126" s="50" t="s">
        <x:v>791</x:v>
      </x:c>
      <x:c r="G126" s="50" t="s">
        <x:v>792</x:v>
      </x:c>
      <x:c r="H126" s="50" t="s">
        <x:v>82</x:v>
      </x:c>
      <x:c r="I126" s="50" t="s">
        <x:v>777</x:v>
      </x:c>
      <x:c r="J126" s="50" t="s">
        <x:v>793</x:v>
      </x:c>
      <x:c r="K126" s="51" t="s">
        <x:v>794</x:v>
      </x:c>
    </x:row>
    <x:row r="127" ht="40.5">
      <x:c r="A127" s="40" t="s">
        <x:v>795</x:v>
      </x:c>
      <x:c r="B127" s="41" t="s">
        <x:v>10</x:v>
      </x:c>
      <x:c r="C127" s="50" t="s">
        <x:v>796</x:v>
      </x:c>
      <x:c r="D127" s="50" t="s">
        <x:v>797</x:v>
      </x:c>
      <x:c r="E127" s="50" t="s">
        <x:v>798</x:v>
      </x:c>
      <x:c r="F127" s="50" t="s">
        <x:v>799</x:v>
      </x:c>
      <x:c r="G127" s="50" t="s">
        <x:v>800</x:v>
      </x:c>
      <x:c r="H127" s="50" t="s">
        <x:v>64</x:v>
      </x:c>
      <x:c r="I127" s="50" t="s">
        <x:v>777</x:v>
      </x:c>
      <x:c r="J127" s="50" t="s">
        <x:v>801</x:v>
      </x:c>
      <x:c r="K127" s="51" t="s">
        <x:v>802</x:v>
      </x:c>
    </x:row>
    <x:row r="128" ht="27">
      <x:c r="A128" s="40" t="s">
        <x:v>803</x:v>
      </x:c>
      <x:c r="B128" s="41" t="s">
        <x:v>10</x:v>
      </x:c>
      <x:c r="C128" s="50" t="s">
        <x:v>804</x:v>
      </x:c>
      <x:c r="D128" s="50" t="s">
        <x:v>805</x:v>
      </x:c>
      <x:c r="E128" s="50" t="s">
        <x:v>806</x:v>
      </x:c>
      <x:c r="F128" s="50" t="s">
        <x:v>807</x:v>
      </x:c>
      <x:c r="G128" s="50" t="s">
        <x:v>808</x:v>
      </x:c>
      <x:c r="H128" s="50" t="s">
        <x:v>39</x:v>
      </x:c>
      <x:c r="I128" s="50" t="s">
        <x:v>777</x:v>
      </x:c>
      <x:c r="J128" s="50" t="s">
        <x:v>809</x:v>
      </x:c>
      <x:c r="K128" s="51" t="s">
        <x:v>810</x:v>
      </x:c>
    </x:row>
    <x:row r="129" ht="40.5">
      <x:c r="A129" s="40" t="s">
        <x:v>811</x:v>
      </x:c>
      <x:c r="B129" s="41" t="s">
        <x:v>11</x:v>
      </x:c>
      <x:c r="C129" s="50" t="s">
        <x:v>812</x:v>
      </x:c>
      <x:c r="D129" s="50" t="s">
        <x:v>813</x:v>
      </x:c>
      <x:c r="E129" s="50" t="s">
        <x:v>814</x:v>
      </x:c>
      <x:c r="F129" s="50" t="s">
        <x:v>815</x:v>
      </x:c>
      <x:c r="G129" s="50" t="s">
        <x:v>816</x:v>
      </x:c>
      <x:c r="H129" s="50" t="s">
        <x:v>39</x:v>
      </x:c>
      <x:c r="I129" s="50" t="s">
        <x:v>777</x:v>
      </x:c>
      <x:c r="J129" s="50" t="s">
        <x:v>817</x:v>
      </x:c>
      <x:c r="K129" s="51" t="s">
        <x:v>818</x:v>
      </x:c>
    </x:row>
    <x:row r="130" ht="40.5">
      <x:c r="A130" s="40" t="s">
        <x:v>819</x:v>
      </x:c>
      <x:c r="B130" s="41" t="s">
        <x:v>12</x:v>
      </x:c>
      <x:c r="C130" s="50" t="s">
        <x:v>820</x:v>
      </x:c>
      <x:c r="D130" s="50" t="s">
        <x:v>821</x:v>
      </x:c>
      <x:c r="E130" s="50" t="s">
        <x:v>822</x:v>
      </x:c>
      <x:c r="F130" s="50" t="s">
        <x:v>823</x:v>
      </x:c>
      <x:c r="G130" s="50" t="s">
        <x:v>824</x:v>
      </x:c>
      <x:c r="H130" s="50" t="s">
        <x:v>82</x:v>
      </x:c>
      <x:c r="I130" s="50" t="s">
        <x:v>777</x:v>
      </x:c>
      <x:c r="J130" s="50" t="s">
        <x:v>825</x:v>
      </x:c>
      <x:c r="K130" s="51" t="s">
        <x:v>826</x:v>
      </x:c>
    </x:row>
    <x:row r="131" ht="40.5">
      <x:c r="A131" s="40" t="s">
        <x:v>827</x:v>
      </x:c>
      <x:c r="B131" s="41" t="s">
        <x:v>16</x:v>
      </x:c>
      <x:c r="C131" s="50" t="s">
        <x:v>828</x:v>
      </x:c>
      <x:c r="D131" s="50" t="s">
        <x:v>829</x:v>
      </x:c>
      <x:c r="E131" s="50" t="s">
        <x:v>830</x:v>
      </x:c>
      <x:c r="F131" s="50" t="s">
        <x:v>831</x:v>
      </x:c>
      <x:c r="G131" s="50" t="s">
        <x:v>832</x:v>
      </x:c>
      <x:c r="H131" s="50" t="s">
        <x:v>345</x:v>
      </x:c>
      <x:c r="I131" s="50" t="s">
        <x:v>777</x:v>
      </x:c>
      <x:c r="J131" s="50" t="s">
        <x:v>833</x:v>
      </x:c>
      <x:c r="K131" s="51" t="s">
        <x:v>834</x:v>
      </x:c>
    </x:row>
    <x:row r="132" ht="27">
      <x:c r="A132" s="40" t="s">
        <x:v>835</x:v>
      </x:c>
      <x:c r="B132" s="41" t="s">
        <x:v>13</x:v>
      </x:c>
      <x:c r="C132" s="50" t="s">
        <x:v>836</x:v>
      </x:c>
      <x:c r="D132" s="50" t="s">
        <x:v>837</x:v>
      </x:c>
      <x:c r="E132" s="50" t="s">
        <x:v>838</x:v>
      </x:c>
      <x:c r="F132" s="50" t="s">
        <x:v>839</x:v>
      </x:c>
      <x:c r="G132" s="50" t="s">
        <x:v>840</x:v>
      </x:c>
      <x:c r="H132" s="50" t="s">
        <x:v>345</x:v>
      </x:c>
      <x:c r="I132" s="50" t="s">
        <x:v>777</x:v>
      </x:c>
      <x:c r="J132" s="50" t="s">
        <x:v>841</x:v>
      </x:c>
      <x:c r="K132" s="51" t="s">
        <x:v>842</x:v>
      </x:c>
    </x:row>
    <x:row r="133" ht="40.5" customHeight="1">
      <x:c r="A133" s="40" t="s">
        <x:v>843</x:v>
      </x:c>
      <x:c r="B133" s="41" t="s">
        <x:v>16</x:v>
      </x:c>
      <x:c r="C133" s="50" t="s">
        <x:v>844</x:v>
      </x:c>
      <x:c r="D133" s="50" t="s">
        <x:v>845</x:v>
      </x:c>
      <x:c r="E133" s="50" t="s">
        <x:v>846</x:v>
      </x:c>
      <x:c r="F133" s="50" t="s">
        <x:v>847</x:v>
      </x:c>
      <x:c r="G133" s="50" t="s">
        <x:v>848</x:v>
      </x:c>
      <x:c r="H133" s="50" t="s">
        <x:v>345</x:v>
      </x:c>
      <x:c r="I133" s="50" t="s">
        <x:v>777</x:v>
      </x:c>
      <x:c r="J133" s="50" t="s">
        <x:v>849</x:v>
      </x:c>
      <x:c r="K133" s="51" t="s">
        <x:v>850</x:v>
      </x:c>
    </x:row>
    <x:row r="134" ht="40.5" customHeight="1">
      <x:c r="A134" s="40" t="s">
        <x:v>851</x:v>
      </x:c>
      <x:c r="B134" s="41" t="s">
        <x:v>10</x:v>
      </x:c>
      <x:c r="C134" s="50" t="s">
        <x:v>852</x:v>
      </x:c>
      <x:c r="D134" s="50" t="s">
        <x:v>853</x:v>
      </x:c>
      <x:c r="E134" s="50" t="s">
        <x:v>854</x:v>
      </x:c>
      <x:c r="F134" s="50" t="s">
        <x:v>855</x:v>
      </x:c>
      <x:c r="G134" s="50" t="s">
        <x:v>856</x:v>
      </x:c>
      <x:c r="H134" s="50" t="s">
        <x:v>39</x:v>
      </x:c>
      <x:c r="I134" s="50" t="s">
        <x:v>777</x:v>
      </x:c>
      <x:c r="J134" s="50" t="s">
        <x:v>857</x:v>
      </x:c>
      <x:c r="K134" s="51" t="s">
        <x:v>858</x:v>
      </x:c>
    </x:row>
    <x:row r="135" ht="94.5">
      <x:c r="A135" s="40" t="s">
        <x:v>859</x:v>
      </x:c>
      <x:c r="B135" s="41" t="s">
        <x:v>15</x:v>
      </x:c>
      <x:c r="C135" s="50" t="s">
        <x:v>103</x:v>
      </x:c>
      <x:c r="D135" s="50" t="s">
        <x:v>860</x:v>
      </x:c>
      <x:c r="E135" s="50" t="s">
        <x:v>861</x:v>
      </x:c>
      <x:c r="F135" s="50" t="s">
        <x:v>862</x:v>
      </x:c>
      <x:c r="G135" s="50" t="s">
        <x:v>863</x:v>
      </x:c>
      <x:c r="H135" s="50" t="s">
        <x:v>82</x:v>
      </x:c>
      <x:c r="I135" s="50" t="s">
        <x:v>864</x:v>
      </x:c>
      <x:c r="J135" s="50" t="s">
        <x:v>865</x:v>
      </x:c>
      <x:c r="K135" s="51" t="s">
        <x:v>866</x:v>
      </x:c>
    </x:row>
    <x:row r="136" ht="94.5">
      <x:c r="A136" s="40" t="s">
        <x:v>867</x:v>
      </x:c>
      <x:c r="B136" s="41" t="s">
        <x:v>10</x:v>
      </x:c>
      <x:c r="C136" s="50" t="s">
        <x:v>59</x:v>
      </x:c>
      <x:c r="D136" s="50" t="s">
        <x:v>868</x:v>
      </x:c>
      <x:c r="E136" s="50" t="s">
        <x:v>869</x:v>
      </x:c>
      <x:c r="F136" s="50" t="s">
        <x:v>870</x:v>
      </x:c>
      <x:c r="G136" s="50" t="s">
        <x:v>871</x:v>
      </x:c>
      <x:c r="H136" s="50" t="s">
        <x:v>82</x:v>
      </x:c>
      <x:c r="I136" s="50" t="s">
        <x:v>864</x:v>
      </x:c>
      <x:c r="J136" s="50" t="s">
        <x:v>872</x:v>
      </x:c>
      <x:c r="K136" s="51" t="s">
        <x:v>873</x:v>
      </x:c>
    </x:row>
    <x:row r="137" ht="81">
      <x:c r="A137" s="40" t="s">
        <x:v>874</x:v>
      </x:c>
      <x:c r="B137" s="41" t="s">
        <x:v>10</x:v>
      </x:c>
      <x:c r="C137" s="50" t="s">
        <x:v>875</x:v>
      </x:c>
      <x:c r="D137" s="50" t="s">
        <x:v>876</x:v>
      </x:c>
      <x:c r="E137" s="50" t="s">
        <x:v>877</x:v>
      </x:c>
      <x:c r="F137" s="50" t="s">
        <x:v>878</x:v>
      </x:c>
      <x:c r="G137" s="50" t="s">
        <x:v>879</x:v>
      </x:c>
      <x:c r="H137" s="50" t="s">
        <x:v>82</x:v>
      </x:c>
      <x:c r="I137" s="50" t="s">
        <x:v>864</x:v>
      </x:c>
      <x:c r="J137" s="50" t="s">
        <x:v>880</x:v>
      </x:c>
      <x:c r="K137" s="51" t="s">
        <x:v>881</x:v>
      </x:c>
    </x:row>
    <x:row r="138" ht="54">
      <x:c r="A138" s="40" t="s">
        <x:v>882</x:v>
      </x:c>
      <x:c r="B138" s="41" t="s">
        <x:v>10</x:v>
      </x:c>
      <x:c r="C138" s="50" t="s">
        <x:v>883</x:v>
      </x:c>
      <x:c r="D138" s="50" t="s">
        <x:v>884</x:v>
      </x:c>
      <x:c r="E138" s="50" t="s">
        <x:v>885</x:v>
      </x:c>
      <x:c r="F138" s="50" t="s">
        <x:v>886</x:v>
      </x:c>
      <x:c r="G138" s="50" t="s">
        <x:v>887</x:v>
      </x:c>
      <x:c r="H138" s="50" t="s">
        <x:v>82</x:v>
      </x:c>
      <x:c r="I138" s="50" t="s">
        <x:v>864</x:v>
      </x:c>
      <x:c r="J138" s="50" t="s">
        <x:v>888</x:v>
      </x:c>
      <x:c r="K138" s="51" t="s">
        <x:v>889</x:v>
      </x:c>
    </x:row>
    <x:row r="139" ht="40.5">
      <x:c r="A139" s="40" t="s">
        <x:v>890</x:v>
      </x:c>
      <x:c r="B139" s="41" t="s">
        <x:v>16</x:v>
      </x:c>
      <x:c r="C139" s="50" t="s">
        <x:v>891</x:v>
      </x:c>
      <x:c r="D139" s="50" t="s">
        <x:v>892</x:v>
      </x:c>
      <x:c r="E139" s="50" t="s">
        <x:v>893</x:v>
      </x:c>
      <x:c r="F139" s="50" t="s">
        <x:v>894</x:v>
      </x:c>
      <x:c r="G139" s="50" t="s">
        <x:v>895</x:v>
      </x:c>
      <x:c r="H139" s="50" t="s">
        <x:v>345</x:v>
      </x:c>
      <x:c r="I139" s="50" t="s">
        <x:v>864</x:v>
      </x:c>
      <x:c r="J139" s="50" t="s">
        <x:v>896</x:v>
      </x:c>
      <x:c r="K139" s="51" t="s">
        <x:v>897</x:v>
      </x:c>
    </x:row>
    <x:row r="140" ht="40.5">
      <x:c r="A140" s="40" t="s">
        <x:v>898</x:v>
      </x:c>
      <x:c r="B140" s="41" t="s">
        <x:v>13</x:v>
      </x:c>
      <x:c r="C140" s="50" t="s">
        <x:v>899</x:v>
      </x:c>
      <x:c r="D140" s="50" t="s">
        <x:v>900</x:v>
      </x:c>
      <x:c r="E140" s="50" t="s">
        <x:v>901</x:v>
      </x:c>
      <x:c r="F140" s="50" t="s">
        <x:v>902</x:v>
      </x:c>
      <x:c r="G140" s="50" t="s">
        <x:v>903</x:v>
      </x:c>
      <x:c r="H140" s="50" t="s">
        <x:v>345</x:v>
      </x:c>
      <x:c r="I140" s="50" t="s">
        <x:v>864</x:v>
      </x:c>
      <x:c r="J140" s="50" t="s">
        <x:v>896</x:v>
      </x:c>
      <x:c r="K140" s="51" t="s">
        <x:v>842</x:v>
      </x:c>
    </x:row>
    <x:row r="141" ht="54">
      <x:c r="A141" s="40" t="s">
        <x:v>904</x:v>
      </x:c>
      <x:c r="B141" s="41" t="s">
        <x:v>15</x:v>
      </x:c>
      <x:c r="C141" s="50" t="s">
        <x:v>905</x:v>
      </x:c>
      <x:c r="D141" s="50" t="s">
        <x:v>906</x:v>
      </x:c>
      <x:c r="E141" s="50" t="s">
        <x:v>907</x:v>
      </x:c>
      <x:c r="F141" s="50" t="s">
        <x:v>908</x:v>
      </x:c>
      <x:c r="G141" s="50" t="s">
        <x:v>909</x:v>
      </x:c>
      <x:c r="H141" s="50" t="s">
        <x:v>39</x:v>
      </x:c>
      <x:c r="I141" s="50" t="s">
        <x:v>864</x:v>
      </x:c>
      <x:c r="J141" s="50" t="s">
        <x:v>910</x:v>
      </x:c>
      <x:c r="K141" s="51" t="s">
        <x:v>911</x:v>
      </x:c>
    </x:row>
    <x:row r="142" ht="54">
      <x:c r="A142" s="40" t="s">
        <x:v>912</x:v>
      </x:c>
      <x:c r="B142" s="41" t="s">
        <x:v>16</x:v>
      </x:c>
      <x:c r="C142" s="50" t="s">
        <x:v>913</x:v>
      </x:c>
      <x:c r="D142" s="50" t="s">
        <x:v>914</x:v>
      </x:c>
      <x:c r="E142" s="50" t="s">
        <x:v>915</x:v>
      </x:c>
      <x:c r="F142" s="50" t="s">
        <x:v>916</x:v>
      </x:c>
      <x:c r="G142" s="50" t="s">
        <x:v>917</x:v>
      </x:c>
      <x:c r="H142" s="50" t="s">
        <x:v>345</x:v>
      </x:c>
      <x:c r="I142" s="50" t="s">
        <x:v>864</x:v>
      </x:c>
      <x:c r="J142" s="50" t="s">
        <x:v>896</x:v>
      </x:c>
      <x:c r="K142" s="51" t="s">
        <x:v>918</x:v>
      </x:c>
    </x:row>
    <x:row r="143" ht="54">
      <x:c r="A143" s="40" t="s">
        <x:v>919</x:v>
      </x:c>
      <x:c r="B143" s="41" t="s">
        <x:v>13</x:v>
      </x:c>
      <x:c r="C143" s="50" t="s">
        <x:v>920</x:v>
      </x:c>
      <x:c r="D143" s="50" t="s">
        <x:v>921</x:v>
      </x:c>
      <x:c r="E143" s="50" t="s">
        <x:v>922</x:v>
      </x:c>
      <x:c r="F143" s="50" t="s">
        <x:v>923</x:v>
      </x:c>
      <x:c r="G143" s="50" t="s">
        <x:v>924</x:v>
      </x:c>
      <x:c r="H143" s="50" t="s">
        <x:v>345</x:v>
      </x:c>
      <x:c r="I143" s="50" t="s">
        <x:v>864</x:v>
      </x:c>
      <x:c r="J143" s="50" t="s">
        <x:v>896</x:v>
      </x:c>
      <x:c r="K143" s="51" t="s">
        <x:v>925</x:v>
      </x:c>
    </x:row>
    <x:row r="144" ht="27">
      <x:c r="A144" s="40" t="s">
        <x:v>926</x:v>
      </x:c>
      <x:c r="B144" s="41" t="s">
        <x:v>17</x:v>
      </x:c>
      <x:c r="C144" s="50" t="s">
        <x:v>927</x:v>
      </x:c>
      <x:c r="D144" s="50" t="s">
        <x:v>928</x:v>
      </x:c>
      <x:c r="E144" s="50" t="s">
        <x:v>929</x:v>
      </x:c>
      <x:c r="F144" s="50" t="s">
        <x:v>930</x:v>
      </x:c>
      <x:c r="G144" s="50" t="s">
        <x:v>931</x:v>
      </x:c>
      <x:c r="H144" s="50" t="s">
        <x:v>82</x:v>
      </x:c>
      <x:c r="I144" s="50" t="s">
        <x:v>932</x:v>
      </x:c>
      <x:c r="J144" s="50" t="s">
        <x:v>933</x:v>
      </x:c>
      <x:c r="K144" s="51" t="s">
        <x:v>934</x:v>
      </x:c>
    </x:row>
    <x:row r="145" ht="27">
      <x:c r="A145" s="40" t="s">
        <x:v>935</x:v>
      </x:c>
      <x:c r="B145" s="41" t="s">
        <x:v>10</x:v>
      </x:c>
      <x:c r="C145" s="50" t="s">
        <x:v>936</x:v>
      </x:c>
      <x:c r="D145" s="50" t="s">
        <x:v>937</x:v>
      </x:c>
      <x:c r="E145" s="50" t="s">
        <x:v>938</x:v>
      </x:c>
      <x:c r="F145" s="50" t="s">
        <x:v>939</x:v>
      </x:c>
      <x:c r="G145" s="50" t="s">
        <x:v>940</x:v>
      </x:c>
      <x:c r="H145" s="50" t="s">
        <x:v>82</x:v>
      </x:c>
      <x:c r="I145" s="50" t="s">
        <x:v>932</x:v>
      </x:c>
      <x:c r="J145" s="50" t="s">
        <x:v>941</x:v>
      </x:c>
      <x:c r="K145" s="51" t="s">
        <x:v>942</x:v>
      </x:c>
    </x:row>
    <x:row r="146" ht="40.5">
      <x:c r="A146" s="40" t="s">
        <x:v>943</x:v>
      </x:c>
      <x:c r="B146" s="41" t="s">
        <x:v>10</x:v>
      </x:c>
      <x:c r="C146" s="50" t="s">
        <x:v>944</x:v>
      </x:c>
      <x:c r="D146" s="50" t="s">
        <x:v>945</x:v>
      </x:c>
      <x:c r="E146" s="50" t="s">
        <x:v>946</x:v>
      </x:c>
      <x:c r="F146" s="50" t="s">
        <x:v>947</x:v>
      </x:c>
      <x:c r="G146" s="50" t="s">
        <x:v>948</x:v>
      </x:c>
      <x:c r="H146" s="50" t="s">
        <x:v>64</x:v>
      </x:c>
      <x:c r="I146" s="50" t="s">
        <x:v>932</x:v>
      </x:c>
      <x:c r="J146" s="50" t="s">
        <x:v>941</x:v>
      </x:c>
      <x:c r="K146" s="51" t="s">
        <x:v>949</x:v>
      </x:c>
    </x:row>
    <x:row r="147" ht="40.5">
      <x:c r="A147" s="40" t="s">
        <x:v>950</x:v>
      </x:c>
      <x:c r="B147" s="41" t="s">
        <x:v>16</x:v>
      </x:c>
      <x:c r="C147" s="50" t="s">
        <x:v>951</x:v>
      </x:c>
      <x:c r="D147" s="50" t="s">
        <x:v>952</x:v>
      </x:c>
      <x:c r="E147" s="50" t="s">
        <x:v>953</x:v>
      </x:c>
      <x:c r="F147" s="50" t="s">
        <x:v>954</x:v>
      </x:c>
      <x:c r="G147" s="50" t="s">
        <x:v>955</x:v>
      </x:c>
      <x:c r="H147" s="50" t="s">
        <x:v>345</x:v>
      </x:c>
      <x:c r="I147" s="50" t="s">
        <x:v>932</x:v>
      </x:c>
      <x:c r="J147" s="50" t="s">
        <x:v>956</x:v>
      </x:c>
      <x:c r="K147" s="51" t="s">
        <x:v>957</x:v>
      </x:c>
    </x:row>
    <x:row r="148" ht="40.5">
      <x:c r="A148" s="40" t="s">
        <x:v>958</x:v>
      </x:c>
      <x:c r="B148" s="41" t="s">
        <x:v>11</x:v>
      </x:c>
      <x:c r="C148" s="50" t="s">
        <x:v>959</x:v>
      </x:c>
      <x:c r="D148" s="50" t="s">
        <x:v>960</x:v>
      </x:c>
      <x:c r="E148" s="50" t="s">
        <x:v>961</x:v>
      </x:c>
      <x:c r="F148" s="50" t="s">
        <x:v>962</x:v>
      </x:c>
      <x:c r="G148" s="50" t="s">
        <x:v>963</x:v>
      </x:c>
      <x:c r="H148" s="50" t="s">
        <x:v>82</x:v>
      </x:c>
      <x:c r="I148" s="50" t="s">
        <x:v>964</x:v>
      </x:c>
      <x:c r="J148" s="50" t="s">
        <x:v>965</x:v>
      </x:c>
      <x:c r="K148" s="51" t="s">
        <x:v>966</x:v>
      </x:c>
    </x:row>
    <x:row r="149" ht="40.5">
      <x:c r="A149" s="40" t="s">
        <x:v>967</x:v>
      </x:c>
      <x:c r="B149" s="41" t="s">
        <x:v>12</x:v>
      </x:c>
      <x:c r="C149" s="50" t="s">
        <x:v>968</x:v>
      </x:c>
      <x:c r="D149" s="50" t="s">
        <x:v>969</x:v>
      </x:c>
      <x:c r="E149" s="50" t="s">
        <x:v>970</x:v>
      </x:c>
      <x:c r="F149" s="50" t="s">
        <x:v>971</x:v>
      </x:c>
      <x:c r="G149" s="50" t="s">
        <x:v>972</x:v>
      </x:c>
      <x:c r="H149" s="50" t="s">
        <x:v>64</x:v>
      </x:c>
      <x:c r="I149" s="50" t="s">
        <x:v>964</x:v>
      </x:c>
      <x:c r="J149" s="50" t="s">
        <x:v>973</x:v>
      </x:c>
      <x:c r="K149" s="51" t="s">
        <x:v>974</x:v>
      </x:c>
    </x:row>
    <x:row r="150" ht="27">
      <x:c r="A150" s="40" t="s">
        <x:v>975</x:v>
      </x:c>
      <x:c r="B150" s="41" t="s">
        <x:v>10</x:v>
      </x:c>
      <x:c r="C150" s="50" t="s">
        <x:v>976</x:v>
      </x:c>
      <x:c r="D150" s="50" t="s">
        <x:v>977</x:v>
      </x:c>
      <x:c r="E150" s="50" t="s">
        <x:v>978</x:v>
      </x:c>
      <x:c r="F150" s="50" t="s">
        <x:v>979</x:v>
      </x:c>
      <x:c r="G150" s="50" t="s">
        <x:v>980</x:v>
      </x:c>
      <x:c r="H150" s="50" t="s">
        <x:v>39</x:v>
      </x:c>
      <x:c r="I150" s="50" t="s">
        <x:v>964</x:v>
      </x:c>
      <x:c r="J150" s="50" t="s">
        <x:v>981</x:v>
      </x:c>
      <x:c r="K150" s="51" t="s">
        <x:v>982</x:v>
      </x:c>
    </x:row>
    <x:row r="151" ht="27">
      <x:c r="A151" s="40" t="s">
        <x:v>983</x:v>
      </x:c>
      <x:c r="B151" s="41" t="s">
        <x:v>13</x:v>
      </x:c>
      <x:c r="C151" s="50" t="s">
        <x:v>984</x:v>
      </x:c>
      <x:c r="D151" s="50" t="s">
        <x:v>985</x:v>
      </x:c>
      <x:c r="E151" s="50" t="s">
        <x:v>986</x:v>
      </x:c>
      <x:c r="F151" s="50" t="s">
        <x:v>987</x:v>
      </x:c>
      <x:c r="G151" s="50" t="s">
        <x:v>988</x:v>
      </x:c>
      <x:c r="H151" s="50" t="s">
        <x:v>345</x:v>
      </x:c>
      <x:c r="I151" s="50" t="s">
        <x:v>964</x:v>
      </x:c>
      <x:c r="J151" s="50" t="s">
        <x:v>989</x:v>
      </x:c>
      <x:c r="K151" s="51" t="s">
        <x:v>990</x:v>
      </x:c>
    </x:row>
    <x:row r="152" ht="27">
      <x:c r="A152" s="40" t="s">
        <x:v>991</x:v>
      </x:c>
      <x:c r="B152" s="41" t="s">
        <x:v>16</x:v>
      </x:c>
      <x:c r="C152" s="50" t="s">
        <x:v>992</x:v>
      </x:c>
      <x:c r="D152" s="50" t="s">
        <x:v>993</x:v>
      </x:c>
      <x:c r="E152" s="50" t="s">
        <x:v>994</x:v>
      </x:c>
      <x:c r="F152" s="50" t="s">
        <x:v>995</x:v>
      </x:c>
      <x:c r="G152" s="50" t="s">
        <x:v>996</x:v>
      </x:c>
      <x:c r="H152" s="50" t="s">
        <x:v>345</x:v>
      </x:c>
      <x:c r="I152" s="50" t="s">
        <x:v>964</x:v>
      </x:c>
      <x:c r="J152" s="50" t="s">
        <x:v>997</x:v>
      </x:c>
      <x:c r="K152" s="51" t="s">
        <x:v>998</x:v>
      </x:c>
    </x:row>
    <x:row r="153" ht="40.5">
      <x:c r="A153" s="40" t="s">
        <x:v>999</x:v>
      </x:c>
      <x:c r="B153" s="41" t="s">
        <x:v>13</x:v>
      </x:c>
      <x:c r="C153" s="50" t="s">
        <x:v>1000</x:v>
      </x:c>
      <x:c r="D153" s="50" t="s">
        <x:v>1001</x:v>
      </x:c>
      <x:c r="E153" s="50" t="s">
        <x:v>1002</x:v>
      </x:c>
      <x:c r="F153" s="50" t="s">
        <x:v>1003</x:v>
      </x:c>
      <x:c r="G153" s="50" t="s">
        <x:v>1004</x:v>
      </x:c>
      <x:c r="H153" s="50" t="s">
        <x:v>345</x:v>
      </x:c>
      <x:c r="I153" s="50" t="s">
        <x:v>964</x:v>
      </x:c>
      <x:c r="J153" s="50" t="s">
        <x:v>1005</x:v>
      </x:c>
      <x:c r="K153" s="51" t="s">
        <x:v>1006</x:v>
      </x:c>
    </x:row>
    <x:row r="154" ht="54">
      <x:c r="A154" s="40" t="s">
        <x:v>1007</x:v>
      </x:c>
      <x:c r="B154" s="41" t="s">
        <x:v>16</x:v>
      </x:c>
      <x:c r="C154" s="50" t="s">
        <x:v>1008</x:v>
      </x:c>
      <x:c r="D154" s="50" t="s">
        <x:v>1009</x:v>
      </x:c>
      <x:c r="E154" s="50" t="s">
        <x:v>1010</x:v>
      </x:c>
      <x:c r="F154" s="50" t="s">
        <x:v>1011</x:v>
      </x:c>
      <x:c r="G154" s="50" t="s">
        <x:v>1012</x:v>
      </x:c>
      <x:c r="H154" s="50" t="s">
        <x:v>345</x:v>
      </x:c>
      <x:c r="I154" s="50" t="s">
        <x:v>964</x:v>
      </x:c>
      <x:c r="J154" s="50" t="s">
        <x:v>1013</x:v>
      </x:c>
      <x:c r="K154" s="51" t="s">
        <x:v>1014</x:v>
      </x:c>
    </x:row>
    <x:row r="155" ht="67.5">
      <x:c r="A155" s="40" t="s">
        <x:v>1015</x:v>
      </x:c>
      <x:c r="B155" s="41" t="s">
        <x:v>10</x:v>
      </x:c>
      <x:c r="C155" s="50" t="s">
        <x:v>1016</x:v>
      </x:c>
      <x:c r="D155" s="50" t="s">
        <x:v>1017</x:v>
      </x:c>
      <x:c r="E155" s="50" t="s">
        <x:v>1018</x:v>
      </x:c>
      <x:c r="F155" s="50" t="s">
        <x:v>1019</x:v>
      </x:c>
      <x:c r="G155" s="50" t="s">
        <x:v>1020</x:v>
      </x:c>
      <x:c r="H155" s="50" t="s">
        <x:v>39</x:v>
      </x:c>
      <x:c r="I155" s="50" t="s">
        <x:v>1021</x:v>
      </x:c>
      <x:c r="J155" s="50" t="s">
        <x:v>1022</x:v>
      </x:c>
      <x:c r="K155" s="51" t="s">
        <x:v>1023</x:v>
      </x:c>
    </x:row>
    <x:row r="156" ht="40.5">
      <x:c r="A156" s="40" t="s">
        <x:v>1024</x:v>
      </x:c>
      <x:c r="B156" s="41" t="s">
        <x:v>10</x:v>
      </x:c>
      <x:c r="C156" s="50" t="s">
        <x:v>182</x:v>
      </x:c>
      <x:c r="D156" s="50" t="s">
        <x:v>1025</x:v>
      </x:c>
      <x:c r="E156" s="50" t="s">
        <x:v>1026</x:v>
      </x:c>
      <x:c r="F156" s="50" t="s">
        <x:v>1027</x:v>
      </x:c>
      <x:c r="G156" s="50" t="s">
        <x:v>1028</x:v>
      </x:c>
      <x:c r="H156" s="50" t="s">
        <x:v>39</x:v>
      </x:c>
      <x:c r="I156" s="50" t="s">
        <x:v>1021</x:v>
      </x:c>
      <x:c r="J156" s="50" t="s">
        <x:v>1029</x:v>
      </x:c>
      <x:c r="K156" s="51" t="s">
        <x:v>1023</x:v>
      </x:c>
    </x:row>
    <x:row r="157" ht="67.5">
      <x:c r="A157" s="40" t="s">
        <x:v>1030</x:v>
      </x:c>
      <x:c r="B157" s="41" t="s">
        <x:v>10</x:v>
      </x:c>
      <x:c r="C157" s="50" t="s">
        <x:v>1031</x:v>
      </x:c>
      <x:c r="D157" s="50" t="s">
        <x:v>1032</x:v>
      </x:c>
      <x:c r="E157" s="50" t="s">
        <x:v>1033</x:v>
      </x:c>
      <x:c r="F157" s="50" t="s">
        <x:v>1034</x:v>
      </x:c>
      <x:c r="G157" s="50" t="s">
        <x:v>1035</x:v>
      </x:c>
      <x:c r="H157" s="50" t="s">
        <x:v>64</x:v>
      </x:c>
      <x:c r="I157" s="50" t="s">
        <x:v>1021</x:v>
      </x:c>
      <x:c r="J157" s="50" t="s">
        <x:v>1036</x:v>
      </x:c>
      <x:c r="K157" s="51" t="s">
        <x:v>1037</x:v>
      </x:c>
    </x:row>
    <x:row r="158" ht="40.5">
      <x:c r="A158" s="40" t="s">
        <x:v>1038</x:v>
      </x:c>
      <x:c r="B158" s="41" t="s">
        <x:v>10</x:v>
      </x:c>
      <x:c r="C158" s="50" t="s">
        <x:v>1039</x:v>
      </x:c>
      <x:c r="D158" s="50" t="s">
        <x:v>1040</x:v>
      </x:c>
      <x:c r="E158" s="50" t="s">
        <x:v>1041</x:v>
      </x:c>
      <x:c r="F158" s="50" t="s">
        <x:v>1042</x:v>
      </x:c>
      <x:c r="G158" s="50" t="s">
        <x:v>1043</x:v>
      </x:c>
      <x:c r="H158" s="50" t="s">
        <x:v>39</x:v>
      </x:c>
      <x:c r="I158" s="50" t="s">
        <x:v>1021</x:v>
      </x:c>
      <x:c r="J158" s="50" t="s">
        <x:v>1044</x:v>
      </x:c>
      <x:c r="K158" s="51" t="s">
        <x:v>1045</x:v>
      </x:c>
    </x:row>
    <x:row r="159" ht="40.5">
      <x:c r="A159" s="40" t="s">
        <x:v>1046</x:v>
      </x:c>
      <x:c r="B159" s="41" t="s">
        <x:v>16</x:v>
      </x:c>
      <x:c r="C159" s="50" t="s">
        <x:v>1047</x:v>
      </x:c>
      <x:c r="D159" s="50" t="s">
        <x:v>1048</x:v>
      </x:c>
      <x:c r="E159" s="50" t="s">
        <x:v>1049</x:v>
      </x:c>
      <x:c r="F159" s="50" t="s">
        <x:v>1050</x:v>
      </x:c>
      <x:c r="G159" s="50" t="s">
        <x:v>1051</x:v>
      </x:c>
      <x:c r="H159" s="50" t="s">
        <x:v>345</x:v>
      </x:c>
      <x:c r="I159" s="50" t="s">
        <x:v>1021</x:v>
      </x:c>
      <x:c r="J159" s="50" t="s">
        <x:v>1052</x:v>
      </x:c>
      <x:c r="K159" s="51" t="s">
        <x:v>1053</x:v>
      </x:c>
    </x:row>
    <x:row r="160" ht="40.5">
      <x:c r="A160" s="40" t="s">
        <x:v>1054</x:v>
      </x:c>
      <x:c r="B160" s="41" t="s">
        <x:v>10</x:v>
      </x:c>
      <x:c r="C160" s="50" t="s">
        <x:v>1055</x:v>
      </x:c>
      <x:c r="D160" s="50" t="s">
        <x:v>1056</x:v>
      </x:c>
      <x:c r="E160" s="50" t="s">
        <x:v>1057</x:v>
      </x:c>
      <x:c r="F160" s="50" t="s">
        <x:v>1058</x:v>
      </x:c>
      <x:c r="G160" s="50" t="s">
        <x:v>1059</x:v>
      </x:c>
      <x:c r="H160" s="50" t="s">
        <x:v>39</x:v>
      </x:c>
      <x:c r="I160" s="50" t="s">
        <x:v>1060</x:v>
      </x:c>
      <x:c r="J160" s="50" t="s">
        <x:v>1061</x:v>
      </x:c>
      <x:c r="K160" s="51" t="s">
        <x:v>1062</x:v>
      </x:c>
    </x:row>
    <x:row r="161" ht="27">
      <x:c r="A161" s="40" t="s">
        <x:v>1063</x:v>
      </x:c>
      <x:c r="B161" s="41" t="s">
        <x:v>11</x:v>
      </x:c>
      <x:c r="C161" s="50" t="s">
        <x:v>1064</x:v>
      </x:c>
      <x:c r="D161" s="50" t="s">
        <x:v>1065</x:v>
      </x:c>
      <x:c r="E161" s="50" t="s">
        <x:v>1066</x:v>
      </x:c>
      <x:c r="F161" s="50" t="s">
        <x:v>1067</x:v>
      </x:c>
      <x:c r="G161" s="50" t="s">
        <x:v>1068</x:v>
      </x:c>
      <x:c r="H161" s="50" t="s">
        <x:v>39</x:v>
      </x:c>
      <x:c r="I161" s="50" t="s">
        <x:v>1060</x:v>
      </x:c>
      <x:c r="J161" s="50" t="s">
        <x:v>1069</x:v>
      </x:c>
      <x:c r="K161" s="51" t="s">
        <x:v>1070</x:v>
      </x:c>
    </x:row>
    <x:row r="162">
      <x:c r="A162" t="s">
        <x:v>1071</x:v>
      </x:c>
      <x:c r="B162" t="s">
        <x:v>16</x:v>
      </x:c>
      <x:c r="C162" t="s">
        <x:v>1072</x:v>
      </x:c>
      <x:c r="D162" t="s">
        <x:v>1073</x:v>
      </x:c>
      <x:c r="E162" t="s">
        <x:v>1074</x:v>
      </x:c>
      <x:c r="F162" t="s">
        <x:v>1075</x:v>
      </x:c>
      <x:c r="G162" t="s">
        <x:v>1076</x:v>
      </x:c>
      <x:c r="H162" t="s">
        <x:v>345</x:v>
      </x:c>
      <x:c r="I162" t="s">
        <x:v>1060</x:v>
      </x:c>
      <x:c r="J162" t="s">
        <x:v>1077</x:v>
      </x:c>
      <x:c r="K162" t="s">
        <x:v>1078</x:v>
      </x:c>
    </x:row>
    <x:row r="163">
      <x:c r="A163" t="s">
        <x:v>1079</x:v>
      </x:c>
      <x:c r="B163" t="s">
        <x:v>10</x:v>
      </x:c>
      <x:c r="C163" t="s">
        <x:v>1080</x:v>
      </x:c>
      <x:c r="D163" t="s">
        <x:v>1081</x:v>
      </x:c>
      <x:c r="E163" t="s">
        <x:v>1082</x:v>
      </x:c>
      <x:c r="F163" t="s">
        <x:v>1083</x:v>
      </x:c>
      <x:c r="G163" t="s">
        <x:v>1084</x:v>
      </x:c>
      <x:c r="H163" t="s">
        <x:v>39</x:v>
      </x:c>
      <x:c r="I163" t="s">
        <x:v>1060</x:v>
      </x:c>
      <x:c r="J163" t="s">
        <x:v>1085</x:v>
      </x:c>
      <x:c r="K163" t="s">
        <x:v>1086</x:v>
      </x:c>
    </x:row>
    <x:row r="164">
      <x:c r="A164" t="s">
        <x:v>1087</x:v>
      </x:c>
      <x:c r="B164" t="s">
        <x:v>16</x:v>
      </x:c>
      <x:c r="C164" t="s">
        <x:v>1088</x:v>
      </x:c>
      <x:c r="D164" t="s">
        <x:v>1089</x:v>
      </x:c>
      <x:c r="E164" t="s">
        <x:v>1090</x:v>
      </x:c>
      <x:c r="F164" t="s">
        <x:v>1091</x:v>
      </x:c>
      <x:c r="G164" t="s">
        <x:v>1092</x:v>
      </x:c>
      <x:c r="H164" t="s">
        <x:v>345</x:v>
      </x:c>
      <x:c r="I164" t="s">
        <x:v>1060</x:v>
      </x:c>
      <x:c r="J164" t="s">
        <x:v>756</x:v>
      </x:c>
      <x:c r="K164" t="s">
        <x:v>1093</x:v>
      </x:c>
    </x:row>
    <x:row r="165">
      <x:c r="A165" t="str">
        <x:v>P14-CLINIC-01</x:v>
      </x:c>
      <x:c r="B165" t="str">
        <x:v>Code</x:v>
      </x:c>
      <x:c r="C165" t="str">
        <x:v>backend/server.js</x:v>
      </x:c>
      <x:c r="D165" t="str">
        <x:v>System-only /clinics GET/POST/PATCH routes</x:v>
      </x:c>
      <x:c r="E165" t="str">
        <x:v>The product had an Organization table and dormant Sys Admin role but no application workflow to create, list, activate, or deactivate clinics.</x:v>
      </x:c>
      <x:c r="F165" t="str">
        <x:v>Added system-only clinic lifecycle APIs. Clinic creation inserts the clinic and its required Clinic Admin within one MySQL transaction and does not invoke Fabric organization provisioning.</x:v>
      </x:c>
      <x:c r="G165" t="str">
        <x:v>Closes the application-level multi-clinic governance gap while preserving a single shared blockchain.</x:v>
      </x:c>
      <x:c r="H165" t="str">
        <x:v>SRS Gap Development</x:v>
      </x:c>
      <x:c r="I165" t="str">
        <x:v>Phase 14 - Application Clinic Governance</x:v>
      </x:c>
      <x:c r="J165" t="str">
        <x:v>FR-01; FR-03; multi-clinic onboarding; SEC-01</x:v>
      </x:c>
      <x:c r="K165" t="str">
        <x:v>Deployed from commit de9c7ea on 2026-07-21. Database/API/frontend infrastructure is live; initial Sys Admin bootstrap and authenticated clinic workflow evidence remain pending.</x:v>
      </x:c>
    </x:row>
    <x:row r="166">
      <x:c r="A166" t="str">
        <x:v>P14-CLINIC-02</x:v>
      </x:c>
      <x:c r="B166" t="str">
        <x:v>Database</x:v>
      </x:c>
      <x:c r="C166" t="str">
        <x:v>database/migrations/2026-07-21-super-admin-clinic-management.sql; database/dump.sql</x:v>
      </x:c>
      <x:c r="D166" t="str">
        <x:v>Clinic lifecycle and mandatory password schema</x:v>
      </x:c>
      <x:c r="E166" t="str">
        <x:v>Clinic status was unavailable, users had no first-login password-change state, and the existing Organization key is referenced by patient foreign keys.</x:v>
      </x:c>
      <x:c r="F166" t="str">
        <x:v>Adds Organization.IsActive and User.Must_Change_Password while preserving the existing non-auto-increment Organization_ID and Admin.Organization_ID primary key. Clinic creation allocates the next ID inside its transaction.</x:v>
      </x:c>
      <x:c r="G166" t="str">
        <x:v>Supports clinic lifecycle and enforces exactly one Clinic Admin per clinic at the schema boundary.</x:v>
      </x:c>
      <x:c r="H166" t="str">
        <x:v>SRS Gap Development</x:v>
      </x:c>
      <x:c r="I166" t="str">
        <x:v>Phase 14 - Application Clinic Governance</x:v>
      </x:c>
      <x:c r="J166" t="str">
        <x:v>FR-01; FR-03; SEC-01; account lifecycle</x:v>
      </x:c>
      <x:c r="K166" t="str">
        <x:v>Migration applied on 2026-07-21. Organization.IsActive and User.Must_Change_Password were verified while the existing Organization_ID type and Admin.Organization_ID primary key remained unchanged.</x:v>
      </x:c>
    </x:row>
    <x:row r="167">
      <x:c r="A167" t="str">
        <x:v>P14-AUTH-01</x:v>
      </x:c>
      <x:c r="B167" t="str">
        <x:v>Code</x:v>
      </x:c>
      <x:c r="C167" t="str">
        <x:v>backend/server.js; backend/scripts/bootstrapSysAdmin.js; backend/package.json</x:v>
      </x:c>
      <x:c r="D167" t="str">
        <x:v>Deployment-only Sys Admin bootstrap and forced password replacement</x:v>
      </x:c>
      <x:c r="E167" t="str">
        <x:v>The dormant Sys Admin role had no safe initial provisioning path, and temporary credentials did not force replacement before protected operations.</x:v>
      </x:c>
      <x:c r="F167" t="str">
        <x:v>Adds a single-use environment-driven Sys Admin bootstrap, normalizes Sys Admin to system, rejects protected operations while Must_Change_Password is set, and issues a replacement token after a strong password change.</x:v>
      </x:c>
      <x:c r="G167" t="str">
        <x:v>Creates the initial privileged account without public registration and reduces temporary-credential exposure.</x:v>
      </x:c>
      <x:c r="H167" t="str">
        <x:v>SRS Gap Development</x:v>
      </x:c>
      <x:c r="I167" t="str">
        <x:v>Phase 14 - Application Clinic Governance</x:v>
      </x:c>
      <x:c r="J167" t="str">
        <x:v>FR-01; FR-02; FR-03; SEC-01; SEC-05</x:v>
      </x:c>
      <x:c r="K167" t="str">
        <x:v>Bootstrap command and first-login enforcement are deployed. Initial Sys Admin creation and live password-replacement proof await the authorized account email.</x:v>
      </x:c>
    </x:row>
    <x:row r="168">
      <x:c r="A168" t="str">
        <x:v>P14-UI-01</x:v>
      </x:c>
      <x:c r="B168" t="str">
        <x:v>Code</x:v>
      </x:c>
      <x:c r="C168" t="str">
        <x:v>bc-dentistry-frontend/src/App.jsx; assets/Pages/Clinics.jsx; assets/Pages/ChangePassword.jsx; assets/Sections/LoginSection.jsx; assets/Sections/Navbar.jsx</x:v>
      </x:c>
      <x:c r="D168" t="str">
        <x:v>Sys Admin clinic UI and first-login routing</x:v>
      </x:c>
      <x:c r="E168" t="str">
        <x:v>The frontend exposed no system-only clinic view and did not direct temporary-password users to credential replacement.</x:v>
      </x:c>
      <x:c r="F168" t="str">
        <x:v>Adds protected system navigation, atomic clinic-and-admin form, clinic status controls, and a mandatory password-change page that takes precedence after login.</x:v>
      </x:c>
      <x:c r="G168" t="str">
        <x:v>Provides the missing role-specific interface for application clinic governance.</x:v>
      </x:c>
      <x:c r="H168" t="str">
        <x:v>SRS Gap Development</x:v>
      </x:c>
      <x:c r="I168" t="str">
        <x:v>Phase 14 - Application Clinic Governance</x:v>
      </x:c>
      <x:c r="J168" t="str">
        <x:v>FR-01; FR-03; role-specific UI; multi-clinic onboarding</x:v>
      </x:c>
      <x:c r="K168" t="str">
        <x:v>Frontend deployed and public route returned HTTP 200. Authenticated Sys Admin browser workflow remains pending until the initial account is bootstrapped.</x:v>
      </x:c>
    </x:row>
    <x:row r="169">
      <x:c r="A169" t="str">
        <x:v>P14-TEST-01</x:v>
      </x:c>
      <x:c r="B169" t="str">
        <x:v>Tests / Deployment</x:v>
      </x:c>
      <x:c r="C169" t="str">
        <x:v>backend/test/superAdminClinicManagement.test.js; bc-dentistry-frontend/test/superAdminClinicManagement.test.js</x:v>
      </x:c>
      <x:c r="D169" t="str">
        <x:v>Clinic governance source verification</x:v>
      </x:c>
      <x:c r="E169" t="str">
        <x:v>No regression checks asserted system-only clinic creation, the one-admin invariant, shared-blockchain boundary, inactive-clinic denial, or first-login password enforcement.</x:v>
      </x:c>
      <x:c r="F169" t="str">
        <x:v>Added focused backend and frontend source checks; ran syntax, full frontend source suite, ESLint, Vite build, and diff validation.</x:v>
      </x:c>
      <x:c r="G169" t="str">
        <x:v>Provides repeatable source-level evidence without representing deployment as complete.</x:v>
      </x:c>
      <x:c r="H169" t="str">
        <x:v>Supporting Evidence / Deployment</x:v>
      </x:c>
      <x:c r="I169" t="str">
        <x:v>Phase 14 - Application Clinic Governance</x:v>
      </x:c>
      <x:c r="J169" t="str">
        <x:v>SRS Section 8; SEC-01; FR-03</x:v>
      </x:c>
      <x:c r="K169" t="str">
        <x:v>Pass: 4 focused backend checks, 20 frontend checks, syntax, zero-warning lint, and production build.</x:v>
      </x:c>
    </x:row>
    <x:row r="170">
      <x:c r="A170" t="str">
        <x:v>P14-DOC-01</x:v>
      </x:c>
      <x:c r="B170" t="str">
        <x:v>Documentation</x:v>
      </x:c>
      <x:c r="C170" t="str">
        <x:v>README.md; Outputs/SRS_Compliance_Base; Outputs/EDR_Remediation_Change_Log.md; Outputs/EDR_fixes.xlsx</x:v>
      </x:c>
      <x:c r="D170" t="str">
        <x:v>Clinic governance setup and traceability</x:v>
      </x:c>
      <x:c r="E170" t="str">
        <x:v>Setup and evidence documents still described clinic creation as absent and bootstrap-token registration as the provisioning path.</x:v>
      </x:c>
      <x:c r="F170" t="str">
        <x:v>Documents the migration, single-use Sys Admin bootstrap, forced first login change, application/Fabric boundary, source verification, and deployment limitations.</x:v>
      </x:c>
      <x:c r="G170" t="str">
        <x:v>Keeps handover evidence aligned with the implemented source and prevents undeployed behavior from being claimed as live.</x:v>
      </x:c>
      <x:c r="H170" t="str">
        <x:v>Supporting Evidence / Deployment</x:v>
      </x:c>
      <x:c r="I170" t="str">
        <x:v>Phase 14 - Application Clinic Governance</x:v>
      </x:c>
      <x:c r="J170" t="str">
        <x:v>Traceability; handover; SRS Section 8</x:v>
      </x:c>
      <x:c r="K170" t="str">
        <x:v>Completed source documentation; deployment/runtime rows remain explicitly pending.</x:v>
      </x:c>
    </x:row>
    <x:row r="171">
      <x:c r="A171" t="str">
        <x:v>P14-DEPLOY-01</x:v>
      </x:c>
      <x:c r="B171" t="str">
        <x:v>Tests / Deployment</x:v>
      </x:c>
      <x:c r="C171" t="str">
        <x:v>AWS VM /home/ubuntu/EDR; database/migrations/2026-07-21-super-admin-clinic-management.sql</x:v>
      </x:c>
      <x:c r="D171" t="str">
        <x:v>Phase 14 targeted deployment and runtime gates</x:v>
      </x:c>
      <x:c r="E171" t="str">
        <x:v>Phase 14 source and migration had not been applied to the deployment environment.</x:v>
      </x:c>
      <x:c r="F171" t="str">
        <x:v>Backed up the VM and MySQL database, applied the corrected migration, deployed the exact de9c7ea backend/frontend payload, rebuilt only database-api and web-frontend, and verified schema, tests, container health, public endpoints, and the unauthenticated clinic guard.</x:v>
      </x:c>
      <x:c r="G171" t="str">
        <x:v>Provides live deployment evidence without disturbing the dirty VM checkout or representing the unbootstrapped privileged workflow as complete.</x:v>
      </x:c>
      <x:c r="H171" t="str">
        <x:v>Supporting Evidence / Deployment</x:v>
      </x:c>
      <x:c r="I171" t="str">
        <x:v>Phase 14 - Application Clinic Governance</x:v>
      </x:c>
      <x:c r="J171" t="str">
        <x:v>SRS Section 8; deployment; SEC-01; FR-03</x:v>
      </x:c>
      <x:c r="K171" t="str">
        <x:v>Pass on 2026-07-21: backup /home/ubuntu/deployment-backups/20260721-132209-phase14-clinic-governance-predeploy; backend 4/4; frontend 20/20; four healthy containers; API/frontend/public HTTP 200; /clinics without token HTTP 401.</x:v>
      </x:c>
    </x:row>
  </x:sheetData>
  <x:conditionalFormatting sqref="B2:B161">
    <x:cfRule type="beginsWith" dxfId="10" priority="1" operator="beginsWith" text="Code">
      <x:formula>LEFT(B2,LEN("Code"))="Code"</x:formula>
    </x:cfRule>
    <x:cfRule type="containsText" dxfId="9" priority="2" operator="containsText" text="Configuration">
      <x:formula>NOT(ISERROR(SEARCH("Configuration",B2)))</x:formula>
    </x:cfRule>
    <x:cfRule type="containsText" dxfId="8" priority="3" operator="containsText" text="Fabric / Docker">
      <x:formula>NOT(ISERROR(SEARCH("Fabric / Docker",B2)))</x:formula>
    </x:cfRule>
    <x:cfRule type="containsText" dxfId="7" priority="4" operator="containsText" text="Documentation">
      <x:formula>NOT(ISERROR(SEARCH("Documentation",B2)))</x:formula>
    </x:cfRule>
    <x:cfRule type="containsText" dxfId="6" priority="5" operator="containsText" text="Fabric Identity">
      <x:formula>NOT(ISERROR(SEARCH("Fabric Identity",B2)))</x:formula>
    </x:cfRule>
    <x:cfRule type="containsText" dxfId="5" priority="6" operator="containsText" text="Fabric / Chaincode">
      <x:formula>NOT(ISERROR(SEARCH("Fabric / Chaincode",B2)))</x:formula>
    </x:cfRule>
    <x:cfRule type="containsText" dxfId="4" priority="7" operator="containsText" text="Tests / Deployment">
      <x:formula>NOT(ISERROR(SEARCH("Tests / Deployment",B2)))</x:formula>
    </x:cfRule>
    <x:cfRule type="containsText" dxfId="3" priority="8" operator="containsText" text="Database">
      <x:formula>NOT(ISERROR(SEARCH("Database",B2)))</x:formula>
    </x:cfRule>
  </x:conditionalFormatting>
  <x:pageMargins left="0.7" right="0.7" top="0.75" bottom="0.75" header="0.3" footer="0.3"/>
  <x:tableParts count="1">
    <x:tablePart xmlns:r="http://schemas.openxmlformats.org/officeDocument/2006/relationships" r:id="R9a71dfa0b3ef44c6"/>
  </x:tableParts>
</x:worksheet>
</file>

<file path=xl/worksheets/sheet3.xml><?xml version="1.0" encoding="utf-8"?>
<x:worksheet xmlns:x="http://schemas.openxmlformats.org/spreadsheetml/2006/main">
  <x:sheetFormatPr defaultRowHeight="15"/>
  <x:cols>
    <x:col min="1" max="1" width="10.42578125" style="6" customWidth="1"/>
    <x:col min="2" max="2" width="46" style="3" customWidth="1"/>
    <x:col min="3" max="3" width="29.85546875" style="3" customWidth="1"/>
    <x:col min="4" max="4" width="77.7109375" style="3" customWidth="1"/>
    <x:col min="5" max="5" width="142.85546875" style="3" customWidth="1"/>
    <x:col min="6" max="16384" width="9.140625" style="3" customWidth="0"/>
  </x:cols>
  <x:sheetData>
    <x:row r="1" s="8" customFormat="1">
      <x:c r="A1" s="7" t="s">
        <x:v>23</x:v>
      </x:c>
      <x:c r="B1" s="7" t="s">
        <x:v>1094</x:v>
      </x:c>
      <x:c r="C1" s="7" t="s">
        <x:v>1095</x:v>
      </x:c>
      <x:c r="D1" s="7" t="s">
        <x:v>1096</x:v>
      </x:c>
      <x:c r="E1" s="7" t="s">
        <x:v>1097</x:v>
      </x:c>
    </x:row>
    <x:row r="2">
      <x:c r="A2" s="5" t="s">
        <x:v>1098</x:v>
      </x:c>
      <x:c r="B2" s="4" t="s">
        <x:v>1099</x:v>
      </x:c>
      <x:c r="C2" s="4" t="s">
        <x:v>1100</x:v>
      </x:c>
      <x:c r="D2" s="4" t="s">
        <x:v>1101</x:v>
      </x:c>
      <x:c r="E2" s="4" t="s">
        <x:v>1102</x:v>
      </x:c>
    </x:row>
    <x:row r="3">
      <x:c r="A3" s="5" t="s">
        <x:v>1103</x:v>
      </x:c>
      <x:c r="B3" s="4" t="s">
        <x:v>1104</x:v>
      </x:c>
      <x:c r="C3" s="4" t="s">
        <x:v>1105</x:v>
      </x:c>
      <x:c r="D3" s="4" t="s">
        <x:v>1106</x:v>
      </x:c>
      <x:c r="E3" s="4" t="s">
        <x:v>1107</x:v>
      </x:c>
    </x:row>
    <x:row r="4">
      <x:c r="A4" s="5" t="s">
        <x:v>1108</x:v>
      </x:c>
      <x:c r="B4" s="4" t="s">
        <x:v>1109</x:v>
      </x:c>
      <x:c r="C4" s="4" t="s">
        <x:v>1110</x:v>
      </x:c>
      <x:c r="D4" s="4" t="s">
        <x:v>1111</x:v>
      </x:c>
      <x:c r="E4" s="4" t="s">
        <x:v>1112</x:v>
      </x:c>
    </x:row>
    <x:row r="5">
      <x:c r="A5" s="5" t="s">
        <x:v>1113</x:v>
      </x:c>
      <x:c r="B5" s="4" t="s">
        <x:v>1114</x:v>
      </x:c>
      <x:c r="C5" s="4" t="s">
        <x:v>1115</x:v>
      </x:c>
      <x:c r="D5" s="4" t="s">
        <x:v>1116</x:v>
      </x:c>
      <x:c r="E5" s="4" t="s">
        <x:v>1117</x:v>
      </x:c>
    </x:row>
    <x:row r="6">
      <x:c r="A6" s="5" t="s">
        <x:v>1118</x:v>
      </x:c>
      <x:c r="B6" s="4" t="s">
        <x:v>1119</x:v>
      </x:c>
      <x:c r="C6" s="4" t="s">
        <x:v>1120</x:v>
      </x:c>
      <x:c r="D6" s="4" t="s">
        <x:v>1121</x:v>
      </x:c>
      <x:c r="E6" s="4" t="s">
        <x:v>1122</x:v>
      </x:c>
    </x:row>
    <x:row r="7" ht="27">
      <x:c r="A7" s="5" t="s">
        <x:v>1123</x:v>
      </x:c>
      <x:c r="B7" s="4" t="s">
        <x:v>1124</x:v>
      </x:c>
      <x:c r="C7" s="4" t="s">
        <x:v>1125</x:v>
      </x:c>
      <x:c r="D7" s="4" t="s">
        <x:v>1126</x:v>
      </x:c>
      <x:c r="E7" s="4" t="s">
        <x:v>1127</x:v>
      </x:c>
    </x:row>
    <x:row r="8">
      <x:c r="A8" s="5" t="s">
        <x:v>1128</x:v>
      </x:c>
      <x:c r="B8" s="4" t="s">
        <x:v>1129</x:v>
      </x:c>
      <x:c r="C8" s="4" t="s">
        <x:v>1130</x:v>
      </x:c>
      <x:c r="D8" s="4" t="s">
        <x:v>1131</x:v>
      </x:c>
      <x:c r="E8" s="4" t="s">
        <x:v>1132</x:v>
      </x:c>
    </x:row>
    <x:row r="9">
      <x:c r="A9" s="5" t="s">
        <x:v>1133</x:v>
      </x:c>
      <x:c r="B9" s="4" t="s">
        <x:v>1134</x:v>
      </x:c>
      <x:c r="C9" s="4" t="s">
        <x:v>1135</x:v>
      </x:c>
      <x:c r="D9" s="4" t="s">
        <x:v>1136</x:v>
      </x:c>
      <x:c r="E9" s="4" t="s">
        <x:v>1137</x:v>
      </x:c>
    </x:row>
    <x:row r="10" ht="27">
      <x:c r="A10" s="5" t="s">
        <x:v>1138</x:v>
      </x:c>
      <x:c r="B10" s="4" t="s">
        <x:v>1139</x:v>
      </x:c>
      <x:c r="C10" s="4" t="s">
        <x:v>1140</x:v>
      </x:c>
      <x:c r="D10" s="4" t="s">
        <x:v>1141</x:v>
      </x:c>
      <x:c r="E10" s="4" t="s">
        <x:v>1142</x:v>
      </x:c>
    </x:row>
    <x:row r="11" ht="27">
      <x:c r="A11" s="5" t="s">
        <x:v>1143</x:v>
      </x:c>
      <x:c r="B11" s="4" t="s">
        <x:v>1144</x:v>
      </x:c>
      <x:c r="C11" s="4" t="s">
        <x:v>1145</x:v>
      </x:c>
      <x:c r="D11" s="4" t="s">
        <x:v>1146</x:v>
      </x:c>
      <x:c r="E11" s="4" t="s">
        <x:v>1147</x:v>
      </x:c>
    </x:row>
    <x:row r="12" ht="27">
      <x:c r="A12" s="5" t="s">
        <x:v>1148</x:v>
      </x:c>
      <x:c r="B12" s="4" t="s">
        <x:v>1149</x:v>
      </x:c>
      <x:c r="C12" s="4" t="s">
        <x:v>1140</x:v>
      </x:c>
      <x:c r="D12" s="4" t="s">
        <x:v>1150</x:v>
      </x:c>
      <x:c r="E12" s="4" t="s">
        <x:v>1151</x:v>
      </x:c>
    </x:row>
    <x:row r="13" ht="27">
      <x:c r="A13" s="5" t="s">
        <x:v>1152</x:v>
      </x:c>
      <x:c r="B13" s="4" t="s">
        <x:v>1153</x:v>
      </x:c>
      <x:c r="C13" s="4" t="s">
        <x:v>1154</x:v>
      </x:c>
      <x:c r="D13" s="4" t="s">
        <x:v>1155</x:v>
      </x:c>
      <x:c r="E13" s="4" t="s">
        <x:v>1156</x:v>
      </x:c>
    </x:row>
    <x:row r="14" ht="27">
      <x:c r="A14" s="5" t="s">
        <x:v>1157</x:v>
      </x:c>
      <x:c r="B14" s="4" t="s">
        <x:v>1158</x:v>
      </x:c>
      <x:c r="C14" s="4" t="s">
        <x:v>1140</x:v>
      </x:c>
      <x:c r="D14" s="4" t="s">
        <x:v>1159</x:v>
      </x:c>
      <x:c r="E14" s="4" t="s">
        <x:v>1160</x:v>
      </x:c>
    </x:row>
    <x:row r="15" ht="27">
      <x:c r="A15" s="5" t="s">
        <x:v>1161</x:v>
      </x:c>
      <x:c r="B15" s="4" t="s">
        <x:v>1162</x:v>
      </x:c>
      <x:c r="C15" s="4" t="s">
        <x:v>1163</x:v>
      </x:c>
      <x:c r="D15" s="4" t="s">
        <x:v>1164</x:v>
      </x:c>
      <x:c r="E15" s="4" t="s">
        <x:v>1165</x:v>
      </x:c>
    </x:row>
    <x:row r="16" ht="27">
      <x:c r="A16" s="5" t="s">
        <x:v>1166</x:v>
      </x:c>
      <x:c r="B16" s="4" t="s">
        <x:v>1167</x:v>
      </x:c>
      <x:c r="C16" s="4" t="s">
        <x:v>1168</x:v>
      </x:c>
      <x:c r="D16" s="4" t="s">
        <x:v>1169</x:v>
      </x:c>
      <x:c r="E16" s="4" t="s">
        <x:v>1170</x:v>
      </x:c>
    </x:row>
    <x:row r="17" ht="27">
      <x:c r="A17" s="5" t="s">
        <x:v>1171</x:v>
      </x:c>
      <x:c r="B17" s="4" t="s">
        <x:v>1172</x:v>
      </x:c>
      <x:c r="C17" s="4" t="s">
        <x:v>1173</x:v>
      </x:c>
      <x:c r="D17" s="4" t="s">
        <x:v>1174</x:v>
      </x:c>
      <x:c r="E17" s="4" t="s">
        <x:v>1175</x:v>
      </x:c>
    </x:row>
    <x:row r="18" ht="27">
      <x:c r="A18" s="5" t="s">
        <x:v>1176</x:v>
      </x:c>
      <x:c r="B18" s="4" t="s">
        <x:v>1177</x:v>
      </x:c>
      <x:c r="C18" s="4" t="s">
        <x:v>1178</x:v>
      </x:c>
      <x:c r="D18" s="4" t="s">
        <x:v>1179</x:v>
      </x:c>
      <x:c r="E18" s="4" t="s">
        <x:v>1180</x:v>
      </x:c>
    </x:row>
    <x:row r="19" ht="27">
      <x:c r="A19" s="5" t="s">
        <x:v>1181</x:v>
      </x:c>
      <x:c r="B19" s="4" t="s">
        <x:v>1182</x:v>
      </x:c>
      <x:c r="C19" s="4" t="s">
        <x:v>1183</x:v>
      </x:c>
      <x:c r="D19" s="4" t="s">
        <x:v>1184</x:v>
      </x:c>
      <x:c r="E19" s="4" t="s">
        <x:v>1185</x:v>
      </x:c>
    </x:row>
    <x:row r="20">
      <x:c r="A20" t="s">
        <x:v>1186</x:v>
      </x:c>
      <x:c r="B20" t="s">
        <x:v>1187</x:v>
      </x:c>
      <x:c r="C20" t="s">
        <x:v>1188</x:v>
      </x:c>
      <x:c r="D20" t="s">
        <x:v>1189</x:v>
      </x:c>
      <x:c r="E20" t="s">
        <x:v>1190</x:v>
      </x:c>
    </x:row>
    <x:row r="21">
      <x:c r="A21" t="s">
        <x:v>1191</x:v>
      </x:c>
      <x:c r="B21" t="s">
        <x:v>1192</x:v>
      </x:c>
      <x:c r="C21" t="s">
        <x:v>1193</x:v>
      </x:c>
      <x:c r="D21" t="s">
        <x:v>1194</x:v>
      </x:c>
      <x:c r="E21" t="s">
        <x:v>1195</x:v>
      </x:c>
    </x:row>
    <x:row r="22">
      <x:c r="A22" t="str">
        <x:v>R-21</x:v>
      </x:c>
      <x:c r="B22" t="str">
        <x:v>/home/ubuntu/deployment-backups/20260721-132209-phase14-clinic-governance-predeploy</x:v>
      </x:c>
      <x:c r="C22" t="str">
        <x:v>Phase 14 predeployment backup</x:v>
      </x:c>
      <x:c r="D22" t="str">
        <x:v>Captured the deployment source and MySQL state before applying the clinic-governance migration and rebuilding the affected services.</x:v>
      </x:c>
      <x:c r="E22" t="str">
        <x:v>Rollback evidence for the targeted de9c7ea deployment.</x:v>
      </x:c>
    </x:row>
    <x:row r="23">
      <x:c r="A23" t="str">
        <x:v>R-22</x:v>
      </x:c>
      <x:c r="B23" t="str">
        <x:v>AWS VM /home/ubuntu/EDR (source marker de9c7ea)</x:v>
      </x:c>
      <x:c r="C23" t="str">
        <x:v>Phase 14 deployed runtime</x:v>
      </x:c>
      <x:c r="D23" t="str">
        <x:v>Applied the Phase 14 schema migration and deployed the Database API and frontend payload; mysql and blockchain-api remained healthy and were not rebuilt.</x:v>
      </x:c>
      <x:c r="E23" t="str">
        <x:v>Live evidence: four healthy containers; database-api, frontend, and public site HTTP 200; protected /clinics returned HTTP 401 without a token.</x:v>
      </x:c>
    </x:row>
  </x:sheetData>
  <x:pageMargins left="0.7" right="0.7" top="0.75" bottom="0.75" header="0.3" footer="0.3"/>
  <x:tableParts count="1">
    <x:tablePart xmlns:r="http://schemas.openxmlformats.org/officeDocument/2006/relationships" r:id="R16ac7beb05fd423a"/>
  </x:tableParts>
</x:worksheet>
</file>

<file path=xl/worksheets/sheet4.xml><?xml version="1.0" encoding="utf-8"?>
<x:worksheet xmlns:x="http://schemas.openxmlformats.org/spreadsheetml/2006/main">
  <x:sheetFormatPr defaultRowHeight="15"/>
  <x:cols>
    <x:col min="1" max="1" width="56.5703125" style="3" customWidth="1"/>
    <x:col min="2" max="2" width="142.85546875" style="3" customWidth="1"/>
    <x:col min="3" max="3" width="21.85546875" style="3" customWidth="1"/>
    <x:col min="4" max="16384" width="9.140625" style="3" customWidth="0"/>
  </x:cols>
  <x:sheetData>
    <x:row r="1">
      <x:c r="A1" s="27" t="s">
        <x:v>1196</x:v>
      </x:c>
      <x:c r="B1" s="28" t="s">
        <x:v>1197</x:v>
      </x:c>
      <x:c r="C1" s="29" t="s">
        <x:v>1198</x:v>
      </x:c>
    </x:row>
    <x:row r="2">
      <x:c r="A2" s="30" t="s">
        <x:v>1199</x:v>
      </x:c>
      <x:c r="B2" s="31" t="s">
        <x:v>1200</x:v>
      </x:c>
      <x:c r="C2" s="32" t="s">
        <x:v>1201</x:v>
      </x:c>
    </x:row>
    <x:row r="3">
      <x:c r="A3" s="30" t="s">
        <x:v>1202</x:v>
      </x:c>
      <x:c r="B3" s="31" t="s">
        <x:v>1203</x:v>
      </x:c>
      <x:c r="C3" s="32" t="s">
        <x:v>1201</x:v>
      </x:c>
    </x:row>
    <x:row r="4">
      <x:c r="A4" s="30" t="s">
        <x:v>1204</x:v>
      </x:c>
      <x:c r="B4" s="31" t="s">
        <x:v>1205</x:v>
      </x:c>
      <x:c r="C4" s="32" t="s">
        <x:v>1201</x:v>
      </x:c>
    </x:row>
    <x:row r="5">
      <x:c r="A5" s="30" t="s">
        <x:v>1206</x:v>
      </x:c>
      <x:c r="B5" s="31" t="s">
        <x:v>1207</x:v>
      </x:c>
      <x:c r="C5" s="32" t="s">
        <x:v>1201</x:v>
      </x:c>
    </x:row>
    <x:row r="6">
      <x:c r="A6" s="30" t="s">
        <x:v>1208</x:v>
      </x:c>
      <x:c r="B6" s="31" t="s">
        <x:v>1209</x:v>
      </x:c>
      <x:c r="C6" s="32" t="s">
        <x:v>1201</x:v>
      </x:c>
    </x:row>
    <x:row r="7">
      <x:c r="A7" s="30" t="s">
        <x:v>1210</x:v>
      </x:c>
      <x:c r="B7" s="31" t="s">
        <x:v>1211</x:v>
      </x:c>
      <x:c r="C7" s="32" t="s">
        <x:v>1201</x:v>
      </x:c>
    </x:row>
    <x:row r="8">
      <x:c r="A8" s="30" t="s">
        <x:v>1212</x:v>
      </x:c>
      <x:c r="B8" s="31" t="s">
        <x:v>1213</x:v>
      </x:c>
      <x:c r="C8" s="32" t="s">
        <x:v>1201</x:v>
      </x:c>
    </x:row>
    <x:row r="9">
      <x:c r="A9" s="30" t="s">
        <x:v>1214</x:v>
      </x:c>
      <x:c r="B9" s="31" t="s">
        <x:v>1215</x:v>
      </x:c>
      <x:c r="C9" s="32" t="s">
        <x:v>1201</x:v>
      </x:c>
    </x:row>
    <x:row r="10">
      <x:c r="A10" s="30" t="s">
        <x:v>1216</x:v>
      </x:c>
      <x:c r="B10" s="31" t="s">
        <x:v>1217</x:v>
      </x:c>
      <x:c r="C10" s="32" t="s">
        <x:v>1201</x:v>
      </x:c>
    </x:row>
    <x:row r="11">
      <x:c r="A11" s="30" t="s">
        <x:v>1218</x:v>
      </x:c>
      <x:c r="B11" s="31" t="s">
        <x:v>1219</x:v>
      </x:c>
      <x:c r="C11" s="32" t="s">
        <x:v>1201</x:v>
      </x:c>
    </x:row>
    <x:row r="12">
      <x:c r="A12" s="30" t="s">
        <x:v>1220</x:v>
      </x:c>
      <x:c r="B12" s="31" t="s">
        <x:v>1221</x:v>
      </x:c>
      <x:c r="C12" s="32" t="s">
        <x:v>1201</x:v>
      </x:c>
    </x:row>
    <x:row r="13">
      <x:c r="A13" s="30" t="s">
        <x:v>1222</x:v>
      </x:c>
      <x:c r="B13" s="31" t="s">
        <x:v>1223</x:v>
      </x:c>
      <x:c r="C13" s="32" t="s">
        <x:v>1201</x:v>
      </x:c>
    </x:row>
    <x:row r="14">
      <x:c r="A14" s="30" t="s">
        <x:v>1224</x:v>
      </x:c>
      <x:c r="B14" s="31" t="s">
        <x:v>1225</x:v>
      </x:c>
      <x:c r="C14" s="32" t="s">
        <x:v>1201</x:v>
      </x:c>
    </x:row>
    <x:row r="15">
      <x:c r="A15" s="30" t="s">
        <x:v>1226</x:v>
      </x:c>
      <x:c r="B15" s="31" t="s">
        <x:v>1227</x:v>
      </x:c>
      <x:c r="C15" s="32" t="s">
        <x:v>1201</x:v>
      </x:c>
    </x:row>
    <x:row r="16">
      <x:c r="A16" s="30" t="s">
        <x:v>1228</x:v>
      </x:c>
      <x:c r="B16" s="31" t="s">
        <x:v>1229</x:v>
      </x:c>
      <x:c r="C16" s="32" t="s">
        <x:v>1201</x:v>
      </x:c>
    </x:row>
    <x:row r="17">
      <x:c r="A17" s="30" t="s">
        <x:v>1230</x:v>
      </x:c>
      <x:c r="B17" s="31" t="s">
        <x:v>1231</x:v>
      </x:c>
      <x:c r="C17" s="32" t="s">
        <x:v>1201</x:v>
      </x:c>
    </x:row>
    <x:row r="18">
      <x:c r="A18" s="30" t="s">
        <x:v>1232</x:v>
      </x:c>
      <x:c r="B18" s="31" t="s">
        <x:v>1233</x:v>
      </x:c>
      <x:c r="C18" s="32" t="s">
        <x:v>1201</x:v>
      </x:c>
    </x:row>
    <x:row r="19">
      <x:c r="A19" s="30" t="s">
        <x:v>1234</x:v>
      </x:c>
      <x:c r="B19" s="31" t="s">
        <x:v>1235</x:v>
      </x:c>
      <x:c r="C19" s="32" t="s">
        <x:v>1201</x:v>
      </x:c>
    </x:row>
    <x:row r="20">
      <x:c r="A20" s="30" t="s">
        <x:v>1236</x:v>
      </x:c>
      <x:c r="B20" s="31" t="s">
        <x:v>1237</x:v>
      </x:c>
      <x:c r="C20" s="32" t="s">
        <x:v>1201</x:v>
      </x:c>
    </x:row>
    <x:row r="21">
      <x:c r="A21" s="30" t="s">
        <x:v>1238</x:v>
      </x:c>
      <x:c r="B21" s="31" t="s">
        <x:v>1239</x:v>
      </x:c>
      <x:c r="C21" s="32" t="s">
        <x:v>1201</x:v>
      </x:c>
    </x:row>
    <x:row r="22" ht="27">
      <x:c r="A22" s="30" t="s">
        <x:v>1240</x:v>
      </x:c>
      <x:c r="B22" s="31" t="s">
        <x:v>1241</x:v>
      </x:c>
      <x:c r="C22" s="32" t="s">
        <x:v>1201</x:v>
      </x:c>
    </x:row>
    <x:row r="23" ht="27">
      <x:c r="A23" s="30" t="s">
        <x:v>1242</x:v>
      </x:c>
      <x:c r="B23" s="31" t="s">
        <x:v>1243</x:v>
      </x:c>
      <x:c r="C23" s="32" t="s">
        <x:v>1201</x:v>
      </x:c>
    </x:row>
    <x:row r="24">
      <x:c r="A24" s="30" t="s">
        <x:v>1244</x:v>
      </x:c>
      <x:c r="B24" s="31" t="s">
        <x:v>1245</x:v>
      </x:c>
      <x:c r="C24" s="32" t="s">
        <x:v>1201</x:v>
      </x:c>
    </x:row>
    <x:row r="25">
      <x:c r="A25" s="30" t="s">
        <x:v>1246</x:v>
      </x:c>
      <x:c r="B25" s="31" t="s">
        <x:v>1247</x:v>
      </x:c>
      <x:c r="C25" s="32" t="s">
        <x:v>1201</x:v>
      </x:c>
    </x:row>
    <x:row r="26">
      <x:c r="A26" s="30" t="s">
        <x:v>1248</x:v>
      </x:c>
      <x:c r="B26" s="31" t="s">
        <x:v>1249</x:v>
      </x:c>
      <x:c r="C26" s="32" t="s">
        <x:v>1201</x:v>
      </x:c>
    </x:row>
    <x:row r="27">
      <x:c r="A27" s="30" t="s">
        <x:v>1250</x:v>
      </x:c>
      <x:c r="B27" s="31" t="s">
        <x:v>1251</x:v>
      </x:c>
      <x:c r="C27" s="32" t="s">
        <x:v>1201</x:v>
      </x:c>
    </x:row>
    <x:row r="28">
      <x:c r="A28" s="43" t="s">
        <x:v>1252</x:v>
      </x:c>
      <x:c r="B28" s="44" t="s">
        <x:v>1253</x:v>
      </x:c>
      <x:c r="C28" s="47" t="s">
        <x:v>1201</x:v>
      </x:c>
    </x:row>
    <x:row r="29">
      <x:c r="A29" s="43" t="s">
        <x:v>1254</x:v>
      </x:c>
      <x:c r="B29" s="44" t="s">
        <x:v>1255</x:v>
      </x:c>
      <x:c r="C29" s="47" t="s">
        <x:v>1201</x:v>
      </x:c>
    </x:row>
    <x:row r="30">
      <x:c r="A30" s="43" t="s">
        <x:v>1256</x:v>
      </x:c>
      <x:c r="B30" s="44" t="s">
        <x:v>1257</x:v>
      </x:c>
      <x:c r="C30" s="47" t="s">
        <x:v>1201</x:v>
      </x:c>
    </x:row>
    <x:row r="31">
      <x:c r="A31" s="45" t="s">
        <x:v>1258</x:v>
      </x:c>
      <x:c r="B31" s="46" t="s">
        <x:v>1259</x:v>
      </x:c>
      <x:c r="C31" s="75" t="s">
        <x:v>1201</x:v>
      </x:c>
    </x:row>
    <x:row r="32">
      <x:c r="A32" s="43" t="s">
        <x:v>1260</x:v>
      </x:c>
      <x:c r="B32" s="44" t="s">
        <x:v>1261</x:v>
      </x:c>
      <x:c r="C32" s="47" t="s">
        <x:v>1201</x:v>
      </x:c>
    </x:row>
    <x:row r="33">
      <x:c r="A33" s="43" t="s">
        <x:v>1262</x:v>
      </x:c>
      <x:c r="B33" s="44" t="s">
        <x:v>1263</x:v>
      </x:c>
      <x:c r="C33" s="47" t="s">
        <x:v>1201</x:v>
      </x:c>
    </x:row>
    <x:row r="34">
      <x:c r="A34" s="43" t="s">
        <x:v>1264</x:v>
      </x:c>
      <x:c r="B34" s="44" t="s">
        <x:v>1265</x:v>
      </x:c>
      <x:c r="C34" s="47" t="s">
        <x:v>1201</x:v>
      </x:c>
    </x:row>
    <x:row r="35">
      <x:c r="A35" s="45" t="s">
        <x:v>1266</x:v>
      </x:c>
      <x:c r="B35" s="46" t="s">
        <x:v>1267</x:v>
      </x:c>
      <x:c r="C35" s="47" t="s">
        <x:v>1201</x:v>
      </x:c>
    </x:row>
    <x:row r="36">
      <x:c r="A36" s="43" t="s">
        <x:v>1268</x:v>
      </x:c>
      <x:c r="B36" s="44" t="s">
        <x:v>1269</x:v>
      </x:c>
      <x:c r="C36" s="47" t="s">
        <x:v>1201</x:v>
      </x:c>
    </x:row>
    <x:row r="37">
      <x:c r="A37" s="43" t="s">
        <x:v>1270</x:v>
      </x:c>
      <x:c r="B37" s="44" t="s">
        <x:v>1271</x:v>
      </x:c>
      <x:c r="C37" s="47" t="s">
        <x:v>1201</x:v>
      </x:c>
    </x:row>
    <x:row r="38">
      <x:c r="A38" s="43" t="s">
        <x:v>1272</x:v>
      </x:c>
      <x:c r="B38" s="44" t="s">
        <x:v>1273</x:v>
      </x:c>
      <x:c r="C38" s="47" t="s">
        <x:v>1201</x:v>
      </x:c>
    </x:row>
    <x:row r="39">
      <x:c r="A39" s="43" t="s">
        <x:v>1274</x:v>
      </x:c>
      <x:c r="B39" s="44" t="s">
        <x:v>1275</x:v>
      </x:c>
      <x:c r="C39" s="47" t="s">
        <x:v>1201</x:v>
      </x:c>
    </x:row>
    <x:row r="40">
      <x:c r="A40" s="43" t="s">
        <x:v>1276</x:v>
      </x:c>
      <x:c r="B40" s="44" t="s">
        <x:v>1277</x:v>
      </x:c>
      <x:c r="C40" s="47" t="s">
        <x:v>1278</x:v>
      </x:c>
    </x:row>
    <x:row r="41">
      <x:c r="A41" s="30" t="s">
        <x:v>1279</x:v>
      </x:c>
      <x:c r="B41" s="31" t="s">
        <x:v>1280</x:v>
      </x:c>
      <x:c r="C41" s="32" t="s">
        <x:v>1281</x:v>
      </x:c>
    </x:row>
    <x:row r="42">
      <x:c r="A42" s="30" t="s">
        <x:v>1282</x:v>
      </x:c>
      <x:c r="B42" s="31" t="s">
        <x:v>1283</x:v>
      </x:c>
      <x:c r="C42" s="32" t="s">
        <x:v>1281</x:v>
      </x:c>
    </x:row>
    <x:row r="43" ht="27">
      <x:c r="A43" s="30" t="s">
        <x:v>1284</x:v>
      </x:c>
      <x:c r="B43" s="31" t="s">
        <x:v>1285</x:v>
      </x:c>
      <x:c r="C43" s="32" t="s">
        <x:v>1281</x:v>
      </x:c>
    </x:row>
    <x:row r="44">
      <x:c r="A44" s="30" t="s">
        <x:v>1279</x:v>
      </x:c>
      <x:c r="B44" s="31" t="s">
        <x:v>1286</x:v>
      </x:c>
      <x:c r="C44" s="32" t="s">
        <x:v>1281</x:v>
      </x:c>
    </x:row>
    <x:row r="45">
      <x:c r="A45" s="43" t="s">
        <x:v>1287</x:v>
      </x:c>
      <x:c r="B45" s="44" t="s">
        <x:v>1288</x:v>
      </x:c>
      <x:c r="C45" s="47" t="s">
        <x:v>1281</x:v>
      </x:c>
    </x:row>
    <x:row r="46">
      <x:c r="A46" s="43" t="s">
        <x:v>1289</x:v>
      </x:c>
      <x:c r="B46" s="44" t="s">
        <x:v>1290</x:v>
      </x:c>
      <x:c r="C46" s="47" t="s">
        <x:v>1281</x:v>
      </x:c>
    </x:row>
    <x:row r="47">
      <x:c r="A47" s="43" t="s">
        <x:v>1291</x:v>
      </x:c>
      <x:c r="B47" s="44" t="s">
        <x:v>1292</x:v>
      </x:c>
      <x:c r="C47" s="47" t="s">
        <x:v>1281</x:v>
      </x:c>
    </x:row>
    <x:row r="48">
      <x:c r="A48" s="74" t="s">
        <x:v>1293</x:v>
      </x:c>
      <x:c r="B48" s="74" t="s">
        <x:v>1294</x:v>
      </x:c>
      <x:c r="C48" s="76" t="s">
        <x:v>1281</x:v>
      </x:c>
    </x:row>
    <x:row r="49">
      <x:c r="A49" s="74" t="s">
        <x:v>1295</x:v>
      </x:c>
      <x:c r="B49" s="74" t="s">
        <x:v>1296</x:v>
      </x:c>
      <x:c r="C49" s="76" t="s">
        <x:v>1201</x:v>
      </x:c>
    </x:row>
    <x:row r="50">
      <x:c r="A50" s="74" t="s">
        <x:v>1297</x:v>
      </x:c>
      <x:c r="B50" s="74" t="s">
        <x:v>1298</x:v>
      </x:c>
      <x:c r="C50" s="76" t="s">
        <x:v>1201</x:v>
      </x:c>
    </x:row>
    <x:row r="51">
      <x:c r="A51" s="74" t="s">
        <x:v>1299</x:v>
      </x:c>
      <x:c r="B51" s="74" t="s">
        <x:v>1300</x:v>
      </x:c>
      <x:c r="C51" s="76" t="s">
        <x:v>1201</x:v>
      </x:c>
    </x:row>
    <x:row r="52">
      <x:c r="A52" s="74" t="s">
        <x:v>1301</x:v>
      </x:c>
      <x:c r="B52" s="74" t="s">
        <x:v>1302</x:v>
      </x:c>
      <x:c r="C52" s="76" t="s">
        <x:v>1281</x:v>
      </x:c>
    </x:row>
    <x:row r="53">
      <x:c r="A53" s="74" t="s">
        <x:v>1303</x:v>
      </x:c>
      <x:c r="B53" s="74" t="s">
        <x:v>1304</x:v>
      </x:c>
      <x:c r="C53" s="76" t="s">
        <x:v>1281</x:v>
      </x:c>
    </x:row>
    <x:row r="54">
      <x:c r="A54" s="74" t="s">
        <x:v>1305</x:v>
      </x:c>
      <x:c r="B54" s="74" t="s">
        <x:v>1306</x:v>
      </x:c>
      <x:c r="C54" s="76" t="s">
        <x:v>1201</x:v>
      </x:c>
    </x:row>
    <x:row r="55">
      <x:c r="A55" s="74" t="s">
        <x:v>1307</x:v>
      </x:c>
      <x:c r="B55" s="74" t="s">
        <x:v>1308</x:v>
      </x:c>
      <x:c r="C55" s="76" t="s">
        <x:v>1201</x:v>
      </x:c>
    </x:row>
    <x:row r="56">
      <x:c r="A56" s="74" t="s">
        <x:v>1309</x:v>
      </x:c>
      <x:c r="B56" s="74" t="s">
        <x:v>1310</x:v>
      </x:c>
      <x:c r="C56" s="76" t="s">
        <x:v>1281</x:v>
      </x:c>
    </x:row>
    <x:row r="57">
      <x:c r="A57" s="74" t="s">
        <x:v>1311</x:v>
      </x:c>
      <x:c r="B57" s="74" t="s">
        <x:v>1312</x:v>
      </x:c>
      <x:c r="C57" s="76" t="s">
        <x:v>1201</x:v>
      </x:c>
    </x:row>
    <x:row r="58">
      <x:c r="A58" s="74" t="s">
        <x:v>1313</x:v>
      </x:c>
      <x:c r="B58" s="74" t="s">
        <x:v>1314</x:v>
      </x:c>
      <x:c r="C58" s="76" t="s">
        <x:v>1201</x:v>
      </x:c>
    </x:row>
    <x:row r="59">
      <x:c r="A59" s="74" t="s">
        <x:v>1315</x:v>
      </x:c>
      <x:c r="B59" s="74" t="s">
        <x:v>1316</x:v>
      </x:c>
      <x:c r="C59" s="76" t="s">
        <x:v>1201</x:v>
      </x:c>
    </x:row>
    <x:row r="60">
      <x:c r="A60" s="74" t="s">
        <x:v>1317</x:v>
      </x:c>
      <x:c r="B60" s="74" t="s">
        <x:v>1318</x:v>
      </x:c>
      <x:c r="C60" s="76" t="s">
        <x:v>1201</x:v>
      </x:c>
    </x:row>
    <x:row r="61">
      <x:c r="A61" s="74" t="s">
        <x:v>1319</x:v>
      </x:c>
      <x:c r="B61" s="74" t="s">
        <x:v>1320</x:v>
      </x:c>
      <x:c r="C61" s="76" t="s">
        <x:v>1201</x:v>
      </x:c>
    </x:row>
    <x:row r="62">
      <x:c r="A62" s="74" t="s">
        <x:v>1321</x:v>
      </x:c>
      <x:c r="B62" s="74" t="s">
        <x:v>1322</x:v>
      </x:c>
      <x:c r="C62" s="76" t="s">
        <x:v>1201</x:v>
      </x:c>
    </x:row>
    <x:row r="63">
      <x:c r="A63" s="74" t="s">
        <x:v>1323</x:v>
      </x:c>
      <x:c r="B63" s="74" t="s">
        <x:v>1324</x:v>
      </x:c>
      <x:c r="C63" s="76" t="s">
        <x:v>1201</x:v>
      </x:c>
    </x:row>
    <x:row r="64">
      <x:c r="A64" s="74" t="s">
        <x:v>1325</x:v>
      </x:c>
      <x:c r="B64" s="74" t="s">
        <x:v>1326</x:v>
      </x:c>
      <x:c r="C64" s="76" t="s">
        <x:v>1201</x:v>
      </x:c>
    </x:row>
    <x:row r="65">
      <x:c r="A65" s="74" t="s">
        <x:v>1327</x:v>
      </x:c>
      <x:c r="B65" s="74" t="s">
        <x:v>1328</x:v>
      </x:c>
      <x:c r="C65" s="76" t="s">
        <x:v>1201</x:v>
      </x:c>
    </x:row>
    <x:row r="66">
      <x:c r="A66" s="74" t="s">
        <x:v>1329</x:v>
      </x:c>
      <x:c r="B66" s="74" t="s">
        <x:v>1330</x:v>
      </x:c>
      <x:c r="C66" s="76" t="s">
        <x:v>1201</x:v>
      </x:c>
    </x:row>
    <x:row r="67">
      <x:c r="A67" s="74" t="s">
        <x:v>1331</x:v>
      </x:c>
      <x:c r="B67" s="74" t="s">
        <x:v>1332</x:v>
      </x:c>
      <x:c r="C67" s="76" t="s">
        <x:v>1201</x:v>
      </x:c>
    </x:row>
    <x:row r="68">
      <x:c r="A68" s="74" t="s">
        <x:v>1333</x:v>
      </x:c>
      <x:c r="B68" s="74" t="s">
        <x:v>1334</x:v>
      </x:c>
      <x:c r="C68" s="76" t="s">
        <x:v>1201</x:v>
      </x:c>
    </x:row>
    <x:row r="69">
      <x:c r="A69" s="74" t="s">
        <x:v>1335</x:v>
      </x:c>
      <x:c r="B69" s="74" t="s">
        <x:v>1336</x:v>
      </x:c>
      <x:c r="C69" s="76" t="s">
        <x:v>1201</x:v>
      </x:c>
    </x:row>
    <x:row r="70">
      <x:c r="A70" s="74" t="s">
        <x:v>1337</x:v>
      </x:c>
      <x:c r="B70" s="74" t="s">
        <x:v>1338</x:v>
      </x:c>
      <x:c r="C70" s="76" t="s">
        <x:v>1201</x:v>
      </x:c>
    </x:row>
    <x:row r="71">
      <x:c r="A71" s="74" t="s">
        <x:v>1339</x:v>
      </x:c>
      <x:c r="B71" s="74" t="s">
        <x:v>1340</x:v>
      </x:c>
      <x:c r="C71" s="76" t="s">
        <x:v>1201</x:v>
      </x:c>
    </x:row>
    <x:row r="72">
      <x:c r="A72" t="s">
        <x:v>1341</x:v>
      </x:c>
      <x:c r="B72" t="s">
        <x:v>1342</x:v>
      </x:c>
      <x:c r="C72" t="s">
        <x:v>1201</x:v>
      </x:c>
    </x:row>
    <x:row r="73">
      <x:c r="A73" t="s">
        <x:v>1343</x:v>
      </x:c>
      <x:c r="B73" t="s">
        <x:v>1344</x:v>
      </x:c>
      <x:c r="C73" t="s">
        <x:v>1201</x:v>
      </x:c>
    </x:row>
    <x:row r="74">
      <x:c r="A74" t="s">
        <x:v>1345</x:v>
      </x:c>
      <x:c r="B74" t="s">
        <x:v>1346</x:v>
      </x:c>
      <x:c r="C74" t="s">
        <x:v>1201</x:v>
      </x:c>
    </x:row>
    <x:row r="75">
      <x:c r="A75" t="str">
        <x:v>Phase 14 backend syntax and governance checks</x:v>
      </x:c>
      <x:c r="B75" t="str">
        <x:v>Pass. backend/server.js and bootstrapSysAdmin.js parsed; 4/4 focused checks cover system-only atomic clinic creation, one-admin schema preservation, shared-blockchain boundary, password enforcement, and inactive-clinic denial.</x:v>
      </x:c>
      <x:c r="C75" t="str">
        <x:v>Pass</x:v>
      </x:c>
    </x:row>
    <x:row r="76">
      <x:c r="A76" t="str">
        <x:v>Phase 14 frontend regression, lint, and build</x:v>
      </x:c>
      <x:c r="B76" t="str">
        <x:v>Pass. Full frontend source suite passed 20/20; ESLint completed with zero warnings; Vite production build transformed 1,324 modules.</x:v>
      </x:c>
      <x:c r="C76" t="str">
        <x:v>Pass</x:v>
      </x:c>
    </x:row>
    <x:row r="77">
      <x:c r="A77" t="str">
        <x:v>Phase 14 deployed clinic workflow</x:v>
      </x:c>
      <x:c r="B77" t="str">
        <x:v>Pending. Infrastructure and migration deployment passed. Initial Sys Admin bootstrap, forced first-login password replacement, clinic/admin creation, clinic isolation, activation/deactivation, and clinic-bound Fabric wallet enrollment still require authorized runtime execution.</x:v>
      </x:c>
      <x:c r="C77" t="str">
        <x:v>Pending</x:v>
      </x:c>
    </x:row>
    <x:row r="78">
      <x:c r="A78" t="str">
        <x:v>Phase 14 migration and deployment infrastructure</x:v>
      </x:c>
      <x:c r="B78" t="str">
        <x:v>Pass. Corrected migration applied; Organization.IsActive and User.Must_Change_Password exist; Organization_ID and the one-admin-per-clinic primary key were preserved; backend 4/4 and frontend 20/20 passed; all four containers healthy; API/frontend/public HTTP 200.</x:v>
      </x:c>
      <x:c r="C78" t="str">
        <x:v>Pass</x:v>
      </x:c>
    </x:row>
    <x:row r="79">
      <x:c r="A79" t="str">
        <x:v>Phase 14 clinic endpoint authentication guard</x:v>
      </x:c>
      <x:c r="B79" t="str">
        <x:v>Pass. GET /clinics without a token returned HTTP 401 from the deployed Database API.</x:v>
      </x:c>
      <x:c r="C79" t="str">
        <x:v>Pass</x:v>
      </x:c>
    </x:row>
  </x:sheetData>
  <x:conditionalFormatting sqref="C2:C71">
    <x:cfRule type="expression" dxfId="2" priority="1">
      <x:formula>ISNUMBER(SEARCH("pending",C2))</x:formula>
    </x:cfRule>
    <x:cfRule type="expression" dxfId="1" priority="2">
      <x:formula>ISNUMBER(SEARCH("warning",C2))</x:formula>
    </x:cfRule>
    <x:cfRule type="expression" dxfId="0" priority="3">
      <x:formula>EXACT(C2,"Pass")</x:formula>
    </x:cfRule>
  </x:conditionalFormatting>
  <x:pageMargins left="0.7" right="0.7" top="0.75" bottom="0.75" header="0.3" footer="0.3"/>
  <x:tableParts count="1">
    <x:tablePart xmlns:r="http://schemas.openxmlformats.org/officeDocument/2006/relationships" r:id="Re0a35c20f2724b5a"/>
  </x:tableParts>
</x:worksheet>
</file>

<file path=xl/worksheets/sheet5.xml><?xml version="1.0" encoding="utf-8"?>
<x:worksheet xmlns:x="http://schemas.openxmlformats.org/spreadsheetml/2006/main">
  <x:sheetFormatPr defaultRowHeight="15"/>
  <x:cols>
    <x:col min="1" max="1" width="36.5703125" style="3" customWidth="1"/>
    <x:col min="2" max="2" width="216.85546875" style="3" customWidth="1"/>
    <x:col min="3" max="16384" width="9.140625" style="3" customWidth="0"/>
  </x:cols>
  <x:sheetData>
    <x:row r="1">
      <x:c r="A1" s="2" t="s">
        <x:v>1347</x:v>
      </x:c>
      <x:c r="B1" s="2" t="s">
        <x:v>1348</x:v>
      </x:c>
    </x:row>
    <x:row r="2">
      <x:c r="A2" s="9" t="str">
        <x:v>Initial Sys Admin deployment</x:v>
      </x:c>
      <x:c r="B2" s="4" t="str">
        <x:v>Migration and application deployment completed 2026-07-21. Provide the authorized email, run the single-use bootstrap:sysadmin command once, and capture forced first-login password-change evidence.</x:v>
      </x:c>
    </x:row>
    <x:row r="3">
      <x:c r="A3" s="88"/>
      <x:c r="B3" s="4"/>
    </x:row>
    <x:row r="4">
      <x:c r="A4" s="9" t="s">
        <x:v>1349</x:v>
      </x:c>
      <x:c r="B4" s="4" t="s">
        <x:v>1350</x:v>
      </x:c>
    </x:row>
    <x:row r="5">
      <x:c r="A5" s="9" t="str">
        <x:v>Phase 14 clinic governance deployment</x:v>
      </x:c>
      <x:c r="B5" s="4" t="str">
        <x:v>Migration, Database API, and frontend deployment passed on 2026-07-21. Remaining evidence: initial Sys Admin bootstrap, authenticated clinic/admin creation, clinic isolation, activation/deactivation, and clinic-bound Fabric wallet enrollment.</x:v>
      </x:c>
    </x:row>
    <x:row r="6">
      <x:c r="A6" s="9" t="s">
        <x:v>1351</x:v>
      </x:c>
      <x:c r="B6" s="4" t="s">
        <x:v>1352</x:v>
      </x:c>
    </x:row>
    <x:row r="7">
      <x:c r="A7" s="9" t="s">
        <x:v>1353</x:v>
      </x:c>
      <x:c r="B7" s="4" t="s">
        <x:v>1354</x:v>
      </x:c>
    </x:row>
    <x:row r="8">
      <x:c r="A8" s="9" t="s">
        <x:v>1355</x:v>
      </x:c>
      <x:c r="B8" s="4" t="s">
        <x:v>1356</x:v>
      </x:c>
    </x:row>
    <x:row r="9">
      <x:c r="A9" s="9" t="s">
        <x:v>1357</x:v>
      </x:c>
      <x:c r="B9" s="4" t="s">
        <x:v>1358</x:v>
      </x:c>
    </x:row>
    <x:row r="10">
      <x:c r="A10" s="9" t="s">
        <x:v>1359</x:v>
      </x:c>
      <x:c r="B10" s="4" t="s">
        <x:v>1360</x:v>
      </x:c>
    </x:row>
    <x:row r="11">
      <x:c r="A11" s="9" t="s">
        <x:v>1361</x:v>
      </x:c>
      <x:c r="B11" s="4" t="s">
        <x:v>1362</x:v>
      </x:c>
    </x:row>
    <x:row r="12">
      <x:c r="A12" s="9" t="s">
        <x:v>1363</x:v>
      </x:c>
      <x:c r="B12" s="4" t="s">
        <x:v>1364</x:v>
      </x:c>
    </x:row>
    <x:row r="13">
      <x:c r="A13" s="53" t="s">
        <x:v>1365</x:v>
      </x:c>
      <x:c r="B13" s="52" t="s">
        <x:v>1366</x:v>
      </x:c>
    </x:row>
    <x:row r="14">
      <x:c r="A14" s="53" t="s">
        <x:v>1367</x:v>
      </x:c>
      <x:c r="B14" s="52" t="s">
        <x:v>1368</x:v>
      </x:c>
    </x:row>
    <x:row r="15">
      <x:c r="A15" s="53" t="s">
        <x:v>1369</x:v>
      </x:c>
      <x:c r="B15" s="52" t="s">
        <x:v>1370</x:v>
      </x:c>
    </x:row>
    <x:row r="16">
      <x:c r="A16" s="53"/>
      <x:c r="B16" s="52"/>
    </x:row>
    <x:row r="17">
      <x:c r="A17" s="53"/>
      <x:c r="B17" s="52"/>
    </x:row>
    <x:row r="18">
      <x:c r="A18" s="53" t="s">
        <x:v>1371</x:v>
      </x:c>
      <x:c r="B18" s="52" t="s">
        <x:v>1372</x:v>
      </x:c>
    </x:row>
    <x:row r="19">
      <x:c r="A19" s="53" t="str">
        <x:v>Clinic Admin Fabric identity enrollment</x:v>
      </x:c>
      <x:c r="B19" s="52" t="str">
        <x:v>A new clinic remains on the existing shared Fabric network and does not create a Fabric organization. Before blockchain-backed admin operations, enroll the clinic-bound admin wallet identity for the new clinic; this step remains operational rather than automatically triggered by clinic creation.</x:v>
      </x:c>
    </x:row>
    <x:row r="20">
      <x:c r="A20"/>
      <x:c r="B20"/>
    </x:row>
    <x:row r="21">
      <x:c r="A21"/>
      <x:c r="B21"/>
    </x:row>
    <x:row r="22">
      <x:c r="A22"/>
      <x:c r="B22"/>
    </x:row>
    <x:row r="23">
      <x:c r="A23" s="53" t="s">
        <x:v>1373</x:v>
      </x:c>
      <x:c r="B23" s="52" t="s">
        <x:v>1374</x:v>
      </x:c>
    </x:row>
  </x:sheetData>
  <x:pageMargins left="0.7" right="0.7" top="0.75" bottom="0.75" header="0.3" footer="0.3"/>
  <x:tableParts count="1">
    <x:tablePart xmlns:r="http://schemas.openxmlformats.org/officeDocument/2006/relationships" r:id="R7a4cfb1bdf824a83"/>
  </x:tableParts>
</x:worksheet>
</file>

<file path=xl/worksheets/sheet6.xml><?xml version="1.0" encoding="utf-8"?>
<x:worksheet xmlns:x="http://schemas.openxmlformats.org/spreadsheetml/2006/main">
  <x:sheetFormatPr defaultRowHeight="15"/>
  <x:cols>
    <x:col min="1" max="1" width="13.28515625" style="6" customWidth="1"/>
    <x:col min="2" max="2" width="36" style="3" customWidth="1"/>
    <x:col min="3" max="3" width="53.85546875" style="3" customWidth="1"/>
    <x:col min="4" max="4" width="59.85546875" style="3" customWidth="1"/>
    <x:col min="5" max="5" width="65.7109375" style="3" customWidth="1"/>
    <x:col min="6" max="6" width="95" style="13" customWidth="1"/>
    <x:col min="7" max="16384" width="9.140625" style="3" customWidth="0"/>
  </x:cols>
  <x:sheetData>
    <x:row r="1" s="8" customFormat="1">
      <x:c r="A1" s="12" t="s">
        <x:v>23</x:v>
      </x:c>
      <x:c r="B1" s="12" t="s">
        <x:v>1095</x:v>
      </x:c>
      <x:c r="C1" s="12" t="s">
        <x:v>1375</x:v>
      </x:c>
      <x:c r="D1" s="12" t="s">
        <x:v>1376</x:v>
      </x:c>
      <x:c r="E1" s="12" t="s">
        <x:v>1377</x:v>
      </x:c>
      <x:c r="F1" s="12" t="s">
        <x:v>1378</x:v>
      </x:c>
    </x:row>
    <x:row r="2">
      <x:c r="A2" s="11" t="s">
        <x:v>1379</x:v>
      </x:c>
      <x:c r="B2" s="10" t="s">
        <x:v>1380</x:v>
      </x:c>
      <x:c r="C2" s="10" t="s">
        <x:v>1381</x:v>
      </x:c>
      <x:c r="D2" s="10" t="s">
        <x:v>1382</x:v>
      </x:c>
      <x:c r="E2" s="10" t="s">
        <x:v>1383</x:v>
      </x:c>
      <x:c r="F2" s="10" t="s">
        <x:v>1384</x:v>
      </x:c>
    </x:row>
    <x:row r="3" ht="27">
      <x:c r="A3" s="11" t="s">
        <x:v>1385</x:v>
      </x:c>
      <x:c r="B3" s="10" t="s">
        <x:v>1386</x:v>
      </x:c>
      <x:c r="C3" s="10" t="s">
        <x:v>1387</x:v>
      </x:c>
      <x:c r="D3" s="10" t="s">
        <x:v>1388</x:v>
      </x:c>
      <x:c r="E3" s="10" t="s">
        <x:v>1389</x:v>
      </x:c>
      <x:c r="F3" s="10" t="s">
        <x:v>1390</x:v>
      </x:c>
    </x:row>
    <x:row r="4" ht="27">
      <x:c r="A4" s="11" t="s">
        <x:v>1391</x:v>
      </x:c>
      <x:c r="B4" s="10" t="s">
        <x:v>1392</x:v>
      </x:c>
      <x:c r="C4" s="10" t="s">
        <x:v>1393</x:v>
      </x:c>
      <x:c r="D4" s="10" t="s">
        <x:v>1394</x:v>
      </x:c>
      <x:c r="E4" s="10" t="s">
        <x:v>1395</x:v>
      </x:c>
      <x:c r="F4" s="10" t="s">
        <x:v>1396</x:v>
      </x:c>
    </x:row>
    <x:row r="5" ht="27">
      <x:c r="A5" s="11" t="s">
        <x:v>1397</x:v>
      </x:c>
      <x:c r="B5" s="10" t="s">
        <x:v>1398</x:v>
      </x:c>
      <x:c r="C5" s="10" t="s">
        <x:v>1399</x:v>
      </x:c>
      <x:c r="D5" s="10" t="s">
        <x:v>1400</x:v>
      </x:c>
      <x:c r="E5" s="10" t="s">
        <x:v>1401</x:v>
      </x:c>
      <x:c r="F5" s="10" t="s">
        <x:v>1402</x:v>
      </x:c>
    </x:row>
    <x:row r="6" ht="40.5">
      <x:c r="A6" s="5" t="s">
        <x:v>1403</x:v>
      </x:c>
      <x:c r="B6" s="4" t="s">
        <x:v>1404</x:v>
      </x:c>
      <x:c r="C6" s="4" t="s">
        <x:v>1405</x:v>
      </x:c>
      <x:c r="D6" s="4" t="s">
        <x:v>1406</x:v>
      </x:c>
      <x:c r="E6" s="4" t="s">
        <x:v>1407</x:v>
      </x:c>
      <x:c r="F6" s="4" t="s">
        <x:v>1408</x:v>
      </x:c>
    </x:row>
    <x:row r="7" ht="27">
      <x:c r="A7" s="11" t="s">
        <x:v>1409</x:v>
      </x:c>
      <x:c r="B7" s="10" t="s">
        <x:v>1392</x:v>
      </x:c>
      <x:c r="C7" s="10" t="s">
        <x:v>1410</x:v>
      </x:c>
      <x:c r="D7" s="10" t="s">
        <x:v>1411</x:v>
      </x:c>
      <x:c r="E7" s="10" t="s">
        <x:v>1412</x:v>
      </x:c>
      <x:c r="F7" s="10" t="s">
        <x:v>1413</x:v>
      </x:c>
    </x:row>
    <x:row r="8" ht="27">
      <x:c r="A8" s="11" t="s">
        <x:v>1414</x:v>
      </x:c>
      <x:c r="B8" s="10" t="s">
        <x:v>1415</x:v>
      </x:c>
      <x:c r="C8" s="10" t="s">
        <x:v>1416</x:v>
      </x:c>
      <x:c r="D8" s="10" t="s">
        <x:v>1417</x:v>
      </x:c>
      <x:c r="E8" s="10" t="s">
        <x:v>1418</x:v>
      </x:c>
      <x:c r="F8" s="10" t="s">
        <x:v>1419</x:v>
      </x:c>
    </x:row>
    <x:row r="9" ht="40.5">
      <x:c r="A9" s="11" t="s">
        <x:v>1420</x:v>
      </x:c>
      <x:c r="B9" s="10" t="s">
        <x:v>1421</x:v>
      </x:c>
      <x:c r="C9" s="10" t="s">
        <x:v>1405</x:v>
      </x:c>
      <x:c r="D9" s="10" t="s">
        <x:v>1422</x:v>
      </x:c>
      <x:c r="E9" s="10" t="s">
        <x:v>1423</x:v>
      </x:c>
      <x:c r="F9" s="10" t="s">
        <x:v>1424</x:v>
      </x:c>
    </x:row>
    <x:row r="10" ht="27">
      <x:c r="A10" s="11" t="s">
        <x:v>1425</x:v>
      </x:c>
      <x:c r="B10" s="10" t="s">
        <x:v>1392</x:v>
      </x:c>
      <x:c r="C10" s="10" t="s">
        <x:v>1426</x:v>
      </x:c>
      <x:c r="D10" s="10" t="s">
        <x:v>1427</x:v>
      </x:c>
      <x:c r="E10" s="10" t="s">
        <x:v>1428</x:v>
      </x:c>
      <x:c r="F10" s="10" t="s">
        <x:v>1429</x:v>
      </x:c>
    </x:row>
    <x:row r="11" ht="27">
      <x:c r="A11" s="11" t="s">
        <x:v>1430</x:v>
      </x:c>
      <x:c r="B11" s="10" t="s">
        <x:v>1431</x:v>
      </x:c>
      <x:c r="C11" s="10" t="s">
        <x:v>1416</x:v>
      </x:c>
      <x:c r="D11" s="10" t="s">
        <x:v>1432</x:v>
      </x:c>
      <x:c r="E11" s="10" t="s">
        <x:v>1433</x:v>
      </x:c>
      <x:c r="F11" s="10" t="s">
        <x:v>1434</x:v>
      </x:c>
    </x:row>
    <x:row r="12" ht="27">
      <x:c r="A12" s="11" t="s">
        <x:v>1435</x:v>
      </x:c>
      <x:c r="B12" s="10" t="s">
        <x:v>1436</x:v>
      </x:c>
      <x:c r="C12" s="10" t="s">
        <x:v>1437</x:v>
      </x:c>
      <x:c r="D12" s="10" t="s">
        <x:v>1438</x:v>
      </x:c>
      <x:c r="E12" s="10" t="s">
        <x:v>1439</x:v>
      </x:c>
      <x:c r="F12" s="10" t="s">
        <x:v>1440</x:v>
      </x:c>
    </x:row>
    <x:row r="13" ht="27">
      <x:c r="A13" s="11" t="s">
        <x:v>1441</x:v>
      </x:c>
      <x:c r="B13" s="10" t="s">
        <x:v>1442</x:v>
      </x:c>
      <x:c r="C13" s="10" t="s">
        <x:v>1405</x:v>
      </x:c>
      <x:c r="D13" s="10" t="s">
        <x:v>1443</x:v>
      </x:c>
      <x:c r="E13" s="10" t="s">
        <x:v>1444</x:v>
      </x:c>
      <x:c r="F13" s="10" t="s">
        <x:v>1445</x:v>
      </x:c>
    </x:row>
    <x:row r="14" ht="27">
      <x:c r="A14" s="11" t="s">
        <x:v>1446</x:v>
      </x:c>
      <x:c r="B14" s="10" t="s">
        <x:v>1447</x:v>
      </x:c>
      <x:c r="C14" s="10" t="s">
        <x:v>1448</x:v>
      </x:c>
      <x:c r="D14" s="10" t="s">
        <x:v>1449</x:v>
      </x:c>
      <x:c r="E14" s="10" t="s">
        <x:v>1450</x:v>
      </x:c>
      <x:c r="F14" s="10" t="s">
        <x:v>1451</x:v>
      </x:c>
    </x:row>
    <x:row r="15" ht="27">
      <x:c r="A15" s="11" t="s">
        <x:v>1452</x:v>
      </x:c>
      <x:c r="B15" s="10" t="s">
        <x:v>1453</x:v>
      </x:c>
      <x:c r="C15" s="10" t="s">
        <x:v>1416</x:v>
      </x:c>
      <x:c r="D15" s="10" t="s">
        <x:v>1432</x:v>
      </x:c>
      <x:c r="E15" s="10" t="s">
        <x:v>1454</x:v>
      </x:c>
      <x:c r="F15" s="10" t="s">
        <x:v>1455</x:v>
      </x:c>
    </x:row>
    <x:row r="16" ht="27">
      <x:c r="A16" s="11" t="s">
        <x:v>1456</x:v>
      </x:c>
      <x:c r="B16" s="10" t="s">
        <x:v>1457</x:v>
      </x:c>
      <x:c r="C16" s="10" t="s">
        <x:v>1458</x:v>
      </x:c>
      <x:c r="D16" s="10" t="s">
        <x:v>1459</x:v>
      </x:c>
      <x:c r="E16" s="10" t="s">
        <x:v>1460</x:v>
      </x:c>
      <x:c r="F16" s="10" t="s">
        <x:v>1461</x:v>
      </x:c>
    </x:row>
    <x:row r="17" ht="27">
      <x:c r="A17" s="11" t="s">
        <x:v>1462</x:v>
      </x:c>
      <x:c r="B17" s="10" t="s">
        <x:v>1431</x:v>
      </x:c>
      <x:c r="C17" s="10" t="s">
        <x:v>1416</x:v>
      </x:c>
      <x:c r="D17" s="10" t="s">
        <x:v>1432</x:v>
      </x:c>
      <x:c r="E17" s="10" t="s">
        <x:v>1463</x:v>
      </x:c>
      <x:c r="F17" s="10" t="s">
        <x:v>1464</x:v>
      </x:c>
    </x:row>
    <x:row r="18" ht="27">
      <x:c r="A18" s="11" t="s">
        <x:v>1465</x:v>
      </x:c>
      <x:c r="B18" s="10" t="s">
        <x:v>1466</x:v>
      </x:c>
      <x:c r="C18" s="10" t="s">
        <x:v>1467</x:v>
      </x:c>
      <x:c r="D18" s="10" t="s">
        <x:v>1468</x:v>
      </x:c>
      <x:c r="E18" s="10" t="s">
        <x:v>1469</x:v>
      </x:c>
      <x:c r="F18" s="10" t="s">
        <x:v>1470</x:v>
      </x:c>
    </x:row>
    <x:row r="19" ht="40.5">
      <x:c r="A19" s="11" t="s">
        <x:v>1471</x:v>
      </x:c>
      <x:c r="B19" s="10" t="s">
        <x:v>1472</x:v>
      </x:c>
      <x:c r="C19" s="10" t="s">
        <x:v>1473</x:v>
      </x:c>
      <x:c r="D19" s="10" t="s">
        <x:v>1474</x:v>
      </x:c>
      <x:c r="E19" s="10" t="s">
        <x:v>1475</x:v>
      </x:c>
      <x:c r="F19" s="10" t="s">
        <x:v>1476</x:v>
      </x:c>
    </x:row>
    <x:row r="20" ht="27">
      <x:c r="A20" s="11" t="s">
        <x:v>1477</x:v>
      </x:c>
      <x:c r="B20" s="10" t="s">
        <x:v>1478</x:v>
      </x:c>
      <x:c r="C20" s="10" t="s">
        <x:v>1479</x:v>
      </x:c>
      <x:c r="D20" s="10" t="s">
        <x:v>1480</x:v>
      </x:c>
      <x:c r="E20" s="10" t="s">
        <x:v>1481</x:v>
      </x:c>
      <x:c r="F20" s="10" t="s">
        <x:v>1482</x:v>
      </x:c>
    </x:row>
    <x:row r="21" ht="40.5">
      <x:c r="A21" s="11" t="s">
        <x:v>1483</x:v>
      </x:c>
      <x:c r="B21" s="10" t="s">
        <x:v>1484</x:v>
      </x:c>
      <x:c r="C21" s="10" t="s">
        <x:v>1416</x:v>
      </x:c>
      <x:c r="D21" s="10" t="s">
        <x:v>1432</x:v>
      </x:c>
      <x:c r="E21" s="10" t="s">
        <x:v>1485</x:v>
      </x:c>
      <x:c r="F21" s="10" t="s">
        <x:v>1486</x:v>
      </x:c>
    </x:row>
    <x:row r="22">
      <x:c r="A22" s="11" t="s">
        <x:v>1487</x:v>
      </x:c>
      <x:c r="B22" s="10" t="s">
        <x:v>1488</x:v>
      </x:c>
      <x:c r="C22" s="10" t="s">
        <x:v>1489</x:v>
      </x:c>
      <x:c r="D22" s="10" t="s">
        <x:v>927</x:v>
      </x:c>
      <x:c r="E22" s="10" t="s">
        <x:v>1490</x:v>
      </x:c>
      <x:c r="F22" s="10" t="s">
        <x:v>1491</x:v>
      </x:c>
    </x:row>
    <x:row r="23" ht="27">
      <x:c r="A23" s="11" t="s">
        <x:v>1492</x:v>
      </x:c>
      <x:c r="B23" s="10" t="s">
        <x:v>1493</x:v>
      </x:c>
      <x:c r="C23" s="10" t="s">
        <x:v>1494</x:v>
      </x:c>
      <x:c r="D23" s="10" t="s">
        <x:v>1495</x:v>
      </x:c>
      <x:c r="E23" s="10" t="s">
        <x:v>1496</x:v>
      </x:c>
      <x:c r="F23" s="10" t="s">
        <x:v>1497</x:v>
      </x:c>
    </x:row>
    <x:row r="24" ht="27">
      <x:c r="A24" s="11" t="s">
        <x:v>1498</x:v>
      </x:c>
      <x:c r="B24" s="10" t="s">
        <x:v>1499</x:v>
      </x:c>
      <x:c r="C24" s="10" t="s">
        <x:v>1500</x:v>
      </x:c>
      <x:c r="D24" s="10" t="s">
        <x:v>1501</x:v>
      </x:c>
      <x:c r="E24" s="10" t="s">
        <x:v>1502</x:v>
      </x:c>
      <x:c r="F24" s="10" t="s">
        <x:v>1503</x:v>
      </x:c>
    </x:row>
    <x:row r="25" ht="27">
      <x:c r="A25" s="11" t="s">
        <x:v>1504</x:v>
      </x:c>
      <x:c r="B25" s="10" t="s">
        <x:v>1505</x:v>
      </x:c>
      <x:c r="C25" s="10" t="s">
        <x:v>1506</x:v>
      </x:c>
      <x:c r="D25" s="10" t="s">
        <x:v>1507</x:v>
      </x:c>
      <x:c r="E25" s="10" t="s">
        <x:v>1508</x:v>
      </x:c>
      <x:c r="F25" s="10" t="s">
        <x:v>1509</x:v>
      </x:c>
    </x:row>
    <x:row r="26" ht="40.5">
      <x:c r="A26" s="11" t="s">
        <x:v>1510</x:v>
      </x:c>
      <x:c r="B26" s="10" t="s">
        <x:v>1511</x:v>
      </x:c>
      <x:c r="C26" s="10" t="s">
        <x:v>1512</x:v>
      </x:c>
      <x:c r="D26" s="10" t="s">
        <x:v>1513</x:v>
      </x:c>
      <x:c r="E26" s="10" t="s">
        <x:v>1514</x:v>
      </x:c>
      <x:c r="F26" s="10" t="s">
        <x:v>1515</x:v>
      </x:c>
    </x:row>
    <x:row r="27" ht="27">
      <x:c r="A27" s="11" t="s">
        <x:v>1516</x:v>
      </x:c>
      <x:c r="B27" s="10" t="s">
        <x:v>1517</x:v>
      </x:c>
      <x:c r="C27" s="10" t="s">
        <x:v>1518</x:v>
      </x:c>
      <x:c r="D27" s="10" t="s">
        <x:v>1519</x:v>
      </x:c>
      <x:c r="E27" s="10" t="s">
        <x:v>1520</x:v>
      </x:c>
      <x:c r="F27" s="10" t="s">
        <x:v>1521</x:v>
      </x:c>
    </x:row>
    <x:row r="28" ht="27">
      <x:c r="A28" s="11" t="s">
        <x:v>1522</x:v>
      </x:c>
      <x:c r="B28" s="10" t="s">
        <x:v>1523</x:v>
      </x:c>
      <x:c r="C28" s="10" t="s">
        <x:v>1512</x:v>
      </x:c>
      <x:c r="D28" s="10" t="s">
        <x:v>1524</x:v>
      </x:c>
      <x:c r="E28" s="10" t="s">
        <x:v>1525</x:v>
      </x:c>
      <x:c r="F28" s="10" t="s">
        <x:v>1526</x:v>
      </x:c>
    </x:row>
    <x:row r="29" ht="27">
      <x:c r="A29" s="11" t="s">
        <x:v>1527</x:v>
      </x:c>
      <x:c r="B29" s="10" t="s">
        <x:v>1528</x:v>
      </x:c>
      <x:c r="C29" s="10" t="s">
        <x:v>1512</x:v>
      </x:c>
      <x:c r="D29" s="10" t="s">
        <x:v>1529</x:v>
      </x:c>
      <x:c r="E29" s="10" t="s">
        <x:v>1530</x:v>
      </x:c>
      <x:c r="F29" s="10" t="s">
        <x:v>1531</x:v>
      </x:c>
    </x:row>
    <x:row r="30">
      <x:c r="A30" t="s">
        <x:v>1532</x:v>
      </x:c>
      <x:c r="B30" t="s">
        <x:v>1533</x:v>
      </x:c>
      <x:c r="C30" t="s">
        <x:v>1512</x:v>
      </x:c>
      <x:c r="D30" t="s">
        <x:v>1534</x:v>
      </x:c>
      <x:c r="E30" t="s">
        <x:v>1535</x:v>
      </x:c>
      <x:c r="F30" t="s">
        <x:v>1536</x:v>
      </x:c>
    </x:row>
    <x:row r="31">
      <x:c r="A31" t="s">
        <x:v>1537</x:v>
      </x:c>
      <x:c r="B31" t="s">
        <x:v>1538</x:v>
      </x:c>
      <x:c r="C31" t="s">
        <x:v>1512</x:v>
      </x:c>
      <x:c r="D31" t="s">
        <x:v>1539</x:v>
      </x:c>
      <x:c r="E31" t="s">
        <x:v>1540</x:v>
      </x:c>
      <x:c r="F31" t="s">
        <x:v>1541</x:v>
      </x:c>
    </x:row>
    <x:row r="32">
      <x:c r="A32" t="str">
        <x:v>P14-DB-01</x:v>
      </x:c>
      <x:c r="B32" t="str">
        <x:v>Clinic governance database migration</x:v>
      </x:c>
      <x:c r="C32" t="str">
        <x:v>Yes, before deploying the Phase 14 Database API</x:v>
      </x:c>
      <x:c r="D32" t="str">
        <x:v>database/migrations/2026-07-21-super-admin-clinic-management.sql</x:v>
      </x:c>
      <x:c r="E32" t="str">
        <x:v>Back up MySQL; apply migration; verify Organization.IsActive, User.Must_Change_Password, unchanged Organization_ID type, and unchanged one-admin-per-clinic Admin primary key.</x:v>
      </x:c>
      <x:c r="F32" t="str">
        <x:v>Passed 2026-07-21. Backup /home/ubuntu/deployment-backups/20260721-132209-phase14-clinic-governance-predeploy; migration applied; Organization.IsActive and User.Must_Change_Password verified; existing Organization_ID and Admin primary key preserved.</x:v>
      </x:c>
    </x:row>
    <x:row r="33">
      <x:c r="A33" t="str">
        <x:v>P14-APP-01</x:v>
      </x:c>
      <x:c r="B33" t="str">
        <x:v>Sys Admin and clinic governance rollout</x:v>
      </x:c>
      <x:c r="C33" t="str">
        <x:v>Yes, after database migration; no Fabric organization or chaincode migration</x:v>
      </x:c>
      <x:c r="D33" t="str">
        <x:v>backend/server.js; backend/scripts/bootstrapSysAdmin.js; bc-dentistry-frontend; README.md</x:v>
      </x:c>
      <x:c r="E33" t="str">
        <x:v>Deploy Database API/frontend, run npm run bootstrap:sysadmin once with environment credentials, change password on first login, create a clinic/admin, enroll its clinic-bound admin wallet identity, and smoke-test role/clinic isolation.</x:v>
      </x:c>
      <x:c r="F33" t="str">
        <x:v>Partially completed 2026-07-21: commit de9c7ea payload deployed; database-api and web-frontend rebuilt; four containers healthy; HTTP and unauthenticated guard checks passed. Sys Admin bootstrap and authenticated clinic workflow remain pending.</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1" style="3" customWidth="1"/>
    <x:col min="2" max="2" width="22.85546875" style="3" customWidth="1"/>
    <x:col min="3" max="6" width="57.140625" style="3" customWidth="1"/>
    <x:col min="7" max="7" width="70.140625" style="3" customWidth="1"/>
    <x:col min="8" max="16384" width="9.140625" style="3" customWidth="0"/>
  </x:cols>
  <x:sheetData>
    <x:row r="1">
      <x:c r="A1" s="1" t="s">
        <x:v>1542</x:v>
      </x:c>
      <x:c r="B1" s="1" t="s">
        <x:v>1543</x:v>
      </x:c>
      <x:c r="C1" s="1" t="s">
        <x:v>1544</x:v>
      </x:c>
      <x:c r="D1" s="1" t="s">
        <x:v>1545</x:v>
      </x:c>
      <x:c r="E1" s="1" t="s">
        <x:v>1546</x:v>
      </x:c>
      <x:c r="F1" s="1" t="s">
        <x:v>1547</x:v>
      </x:c>
      <x:c r="G1" s="1" t="s">
        <x:v>1548</x:v>
      </x:c>
    </x:row>
    <x:row r="2" ht="40.5">
      <x:c r="A2" s="25" t="s">
        <x:v>554</x:v>
      </x:c>
      <x:c r="B2" s="10" t="s">
        <x:v>1549</x:v>
      </x:c>
      <x:c r="C2" s="10" t="s">
        <x:v>1550</x:v>
      </x:c>
      <x:c r="D2" s="10" t="s">
        <x:v>1551</x:v>
      </x:c>
      <x:c r="E2" s="10" t="s">
        <x:v>1552</x:v>
      </x:c>
      <x:c r="F2" s="10" t="s">
        <x:v>1553</x:v>
      </x:c>
      <x:c r="G2" s="10" t="s">
        <x:v>1554</x:v>
      </x:c>
    </x:row>
    <x:row r="3" ht="40.5">
      <x:c r="A3" s="25" t="s">
        <x:v>562</x:v>
      </x:c>
      <x:c r="B3" s="10" t="s">
        <x:v>1555</x:v>
      </x:c>
      <x:c r="C3" s="10" t="s">
        <x:v>1556</x:v>
      </x:c>
      <x:c r="D3" s="10" t="s">
        <x:v>1557</x:v>
      </x:c>
      <x:c r="E3" s="10" t="s">
        <x:v>1558</x:v>
      </x:c>
      <x:c r="F3" s="10" t="s">
        <x:v>1559</x:v>
      </x:c>
      <x:c r="G3" s="10" t="s">
        <x:v>1560</x:v>
      </x:c>
    </x:row>
    <x:row r="4" ht="40.5">
      <x:c r="A4" s="25" t="s">
        <x:v>568</x:v>
      </x:c>
      <x:c r="B4" s="10" t="s">
        <x:v>1561</x:v>
      </x:c>
      <x:c r="C4" s="10" t="s">
        <x:v>1562</x:v>
      </x:c>
      <x:c r="D4" s="10" t="s">
        <x:v>1563</x:v>
      </x:c>
      <x:c r="E4" s="10" t="s">
        <x:v>1564</x:v>
      </x:c>
      <x:c r="F4" s="10" t="s">
        <x:v>1565</x:v>
      </x:c>
      <x:c r="G4" s="10" t="s">
        <x:v>1566</x:v>
      </x:c>
    </x:row>
    <x:row r="5" ht="40.5">
      <x:c r="A5" s="25" t="s">
        <x:v>574</x:v>
      </x:c>
      <x:c r="B5" s="10" t="s">
        <x:v>1567</x:v>
      </x:c>
      <x:c r="C5" s="10" t="s">
        <x:v>1568</x:v>
      </x:c>
      <x:c r="D5" s="10" t="s">
        <x:v>1569</x:v>
      </x:c>
      <x:c r="E5" s="10" t="s">
        <x:v>1570</x:v>
      </x:c>
      <x:c r="F5" s="10" t="s">
        <x:v>1571</x:v>
      </x:c>
      <x:c r="G5" s="10" t="s">
        <x:v>1572</x:v>
      </x:c>
    </x:row>
    <x:row r="6" ht="27">
      <x:c r="A6" s="25" t="s">
        <x:v>1573</x:v>
      </x:c>
      <x:c r="B6" s="10" t="s">
        <x:v>1574</x:v>
      </x:c>
      <x:c r="C6" s="10" t="s">
        <x:v>1575</x:v>
      </x:c>
      <x:c r="D6" s="10" t="s">
        <x:v>1576</x:v>
      </x:c>
      <x:c r="E6" s="10" t="s">
        <x:v>1577</x:v>
      </x:c>
      <x:c r="F6" s="10" t="s">
        <x:v>1578</x:v>
      </x:c>
      <x:c r="G6" s="10" t="s">
        <x:v>1579</x:v>
      </x:c>
    </x:row>
    <x:row r="7" ht="27">
      <x:c r="A7" s="25" t="s">
        <x:v>1580</x:v>
      </x:c>
      <x:c r="B7" s="10" t="s">
        <x:v>1581</x:v>
      </x:c>
      <x:c r="C7" s="10" t="s">
        <x:v>1582</x:v>
      </x:c>
      <x:c r="D7" s="10" t="s">
        <x:v>1583</x:v>
      </x:c>
      <x:c r="E7" s="10" t="s">
        <x:v>1584</x:v>
      </x:c>
      <x:c r="F7" s="10" t="s">
        <x:v>1585</x:v>
      </x:c>
      <x:c r="G7" s="10" t="s">
        <x:v>1586</x:v>
      </x:c>
    </x:row>
    <x:row r="8" ht="27">
      <x:c r="A8" s="25" t="s">
        <x:v>1587</x:v>
      </x:c>
      <x:c r="B8" s="10" t="s">
        <x:v>1588</x:v>
      </x:c>
      <x:c r="C8" s="10" t="s">
        <x:v>1589</x:v>
      </x:c>
      <x:c r="D8" s="10" t="s">
        <x:v>1590</x:v>
      </x:c>
      <x:c r="E8" s="10" t="s">
        <x:v>1591</x:v>
      </x:c>
      <x:c r="F8" s="10" t="s">
        <x:v>1592</x:v>
      </x:c>
      <x:c r="G8" s="10" t="s">
        <x:v>1593</x:v>
      </x:c>
    </x:row>
    <x:row r="9" ht="54">
      <x:c r="A9" s="25" t="s">
        <x:v>1594</x:v>
      </x:c>
      <x:c r="B9" s="10" t="s">
        <x:v>1595</x:v>
      </x:c>
      <x:c r="C9" s="10" t="s">
        <x:v>1596</x:v>
      </x:c>
      <x:c r="D9" s="10" t="s">
        <x:v>1597</x:v>
      </x:c>
      <x:c r="E9" s="10" t="s">
        <x:v>1598</x:v>
      </x:c>
      <x:c r="F9" s="10" t="s">
        <x:v>1599</x:v>
      </x:c>
      <x:c r="G9" s="10" t="s">
        <x:v>1600</x:v>
      </x:c>
    </x:row>
    <x:row r="10" ht="27">
      <x:c r="A10" s="25" t="s">
        <x:v>1601</x:v>
      </x:c>
      <x:c r="B10" s="10" t="s">
        <x:v>1602</x:v>
      </x:c>
      <x:c r="C10" s="10" t="s">
        <x:v>1603</x:v>
      </x:c>
      <x:c r="D10" s="10" t="s">
        <x:v>1604</x:v>
      </x:c>
      <x:c r="E10" s="10" t="s">
        <x:v>1602</x:v>
      </x:c>
      <x:c r="F10" s="10" t="s">
        <x:v>1605</x:v>
      </x:c>
      <x:c r="G10" s="10" t="s">
        <x:v>1606</x:v>
      </x:c>
    </x:row>
    <x:row r="11" ht="27">
      <x:c r="A11" s="25" t="s">
        <x:v>1607</x:v>
      </x:c>
      <x:c r="B11" s="10" t="s">
        <x:v>1608</x:v>
      </x:c>
      <x:c r="C11" s="10" t="s">
        <x:v>1609</x:v>
      </x:c>
      <x:c r="D11" s="10" t="s">
        <x:v>1610</x:v>
      </x:c>
      <x:c r="E11" s="10" t="s">
        <x:v>1608</x:v>
      </x:c>
      <x:c r="F11" s="10" t="s">
        <x:v>1611</x:v>
      </x:c>
      <x:c r="G11" s="10" t="s">
        <x:v>1612</x:v>
      </x:c>
    </x:row>
    <x:row r="12" ht="27">
      <x:c r="A12" s="25" t="s">
        <x:v>1613</x:v>
      </x:c>
      <x:c r="B12" s="10" t="s">
        <x:v>1614</x:v>
      </x:c>
      <x:c r="C12" s="10" t="s">
        <x:v>1615</x:v>
      </x:c>
      <x:c r="D12" s="10" t="s">
        <x:v>1616</x:v>
      </x:c>
      <x:c r="E12" s="10" t="s">
        <x:v>1617</x:v>
      </x:c>
      <x:c r="F12" s="10" t="s">
        <x:v>1618</x:v>
      </x:c>
      <x:c r="G12" s="10" t="s">
        <x:v>1619</x:v>
      </x:c>
    </x:row>
    <x:row r="13" ht="27">
      <x:c r="A13" s="25" t="s">
        <x:v>1620</x:v>
      </x:c>
      <x:c r="B13" s="10" t="s">
        <x:v>1621</x:v>
      </x:c>
      <x:c r="C13" s="10" t="s">
        <x:v>1622</x:v>
      </x:c>
      <x:c r="D13" s="10" t="s">
        <x:v>1623</x:v>
      </x:c>
      <x:c r="E13" s="10" t="s">
        <x:v>623</x:v>
      </x:c>
      <x:c r="F13" s="10" t="s">
        <x:v>1624</x:v>
      </x:c>
      <x:c r="G13" s="10" t="s">
        <x:v>1625</x:v>
      </x:c>
    </x:row>
    <x:row r="14" ht="54">
      <x:c r="A14" s="25" t="s">
        <x:v>1626</x:v>
      </x:c>
      <x:c r="B14" s="10" t="s">
        <x:v>1627</x:v>
      </x:c>
      <x:c r="C14" s="10" t="s">
        <x:v>1628</x:v>
      </x:c>
      <x:c r="D14" s="10" t="s">
        <x:v>1629</x:v>
      </x:c>
      <x:c r="E14" s="10" t="s">
        <x:v>691</x:v>
      </x:c>
      <x:c r="F14" s="10" t="s">
        <x:v>1630</x:v>
      </x:c>
      <x:c r="G14" s="10" t="s">
        <x:v>1631</x:v>
      </x:c>
    </x:row>
    <x:row r="15" ht="54">
      <x:c r="A15" s="25" t="s">
        <x:v>1632</x:v>
      </x:c>
      <x:c r="B15" s="10" t="s">
        <x:v>1633</x:v>
      </x:c>
      <x:c r="C15" s="10" t="s">
        <x:v>1634</x:v>
      </x:c>
      <x:c r="D15" s="10" t="s">
        <x:v>1635</x:v>
      </x:c>
      <x:c r="E15" s="10" t="s">
        <x:v>1636</x:v>
      </x:c>
      <x:c r="F15" s="10" t="s">
        <x:v>1637</x:v>
      </x:c>
      <x:c r="G15" s="10" t="s">
        <x:v>1638</x:v>
      </x:c>
    </x:row>
    <x:row r="16" ht="54">
      <x:c r="A16" s="25" t="s">
        <x:v>1639</x:v>
      </x:c>
      <x:c r="B16" s="10" t="s">
        <x:v>1640</x:v>
      </x:c>
      <x:c r="C16" s="10" t="s">
        <x:v>1641</x:v>
      </x:c>
      <x:c r="D16" s="10" t="s">
        <x:v>1642</x:v>
      </x:c>
      <x:c r="E16" s="10" t="s">
        <x:v>1643</x:v>
      </x:c>
      <x:c r="F16" s="10" t="s">
        <x:v>1644</x:v>
      </x:c>
      <x:c r="G16" s="10" t="s">
        <x:v>1645</x:v>
      </x:c>
    </x:row>
    <x:row r="17" ht="54">
      <x:c r="A17" s="25" t="s">
        <x:v>1646</x:v>
      </x:c>
      <x:c r="B17" s="10" t="s">
        <x:v>1647</x:v>
      </x:c>
      <x:c r="C17" s="10" t="s">
        <x:v>1648</x:v>
      </x:c>
      <x:c r="D17" s="10" t="s">
        <x:v>1649</x:v>
      </x:c>
      <x:c r="E17" s="10" t="s">
        <x:v>865</x:v>
      </x:c>
      <x:c r="F17" s="10" t="s">
        <x:v>1650</x:v>
      </x:c>
      <x:c r="G17" s="10" t="s">
        <x:v>1651</x:v>
      </x:c>
    </x:row>
    <x:row r="18" ht="27">
      <x:c r="A18" s="25" t="s">
        <x:v>1652</x:v>
      </x:c>
      <x:c r="B18" s="10" t="s">
        <x:v>1653</x:v>
      </x:c>
      <x:c r="C18" s="10" t="s">
        <x:v>1654</x:v>
      </x:c>
      <x:c r="D18" s="10" t="s">
        <x:v>1655</x:v>
      </x:c>
      <x:c r="E18" s="10" t="s">
        <x:v>941</x:v>
      </x:c>
      <x:c r="F18" s="10" t="s">
        <x:v>1656</x:v>
      </x:c>
      <x:c r="G18" s="10" t="s">
        <x:v>1657</x:v>
      </x:c>
    </x:row>
    <x:row r="19" ht="54">
      <x:c r="A19" s="25" t="s">
        <x:v>1658</x:v>
      </x:c>
      <x:c r="B19" s="10" t="s">
        <x:v>1659</x:v>
      </x:c>
      <x:c r="C19" s="10" t="s">
        <x:v>1660</x:v>
      </x:c>
      <x:c r="D19" s="10" t="s">
        <x:v>1661</x:v>
      </x:c>
      <x:c r="E19" s="10" t="s">
        <x:v>1662</x:v>
      </x:c>
      <x:c r="F19" s="10" t="s">
        <x:v>1663</x:v>
      </x:c>
      <x:c r="G19" s="10" t="s">
        <x:v>1664</x:v>
      </x:c>
    </x:row>
    <x:row r="20" ht="40.5">
      <x:c r="A20" s="25" t="s">
        <x:v>1665</x:v>
      </x:c>
      <x:c r="B20" s="10" t="s">
        <x:v>1666</x:v>
      </x:c>
      <x:c r="C20" s="10" t="s">
        <x:v>1667</x:v>
      </x:c>
      <x:c r="D20" s="10" t="s">
        <x:v>1668</x:v>
      </x:c>
      <x:c r="E20" s="10" t="s">
        <x:v>1669</x:v>
      </x:c>
      <x:c r="F20" s="10" t="s">
        <x:v>1670</x:v>
      </x:c>
      <x:c r="G20" s="10" t="s">
        <x:v>1671</x:v>
      </x:c>
    </x:row>
    <x:row r="21" ht="27">
      <x:c r="A21" s="25" t="s">
        <x:v>1672</x:v>
      </x:c>
      <x:c r="B21" s="10" t="s">
        <x:v>1056</x:v>
      </x:c>
      <x:c r="C21" s="10" t="s">
        <x:v>1673</x:v>
      </x:c>
      <x:c r="D21" s="10" t="s">
        <x:v>1674</x:v>
      </x:c>
      <x:c r="E21" s="10" t="s">
        <x:v>941</x:v>
      </x:c>
      <x:c r="F21" s="10" t="s">
        <x:v>1675</x:v>
      </x:c>
      <x:c r="G21" s="10" t="s">
        <x:v>1676</x:v>
      </x:c>
    </x:row>
    <x:row r="22" ht="27">
      <x:c r="A22" s="25" t="s">
        <x:v>1677</x:v>
      </x:c>
      <x:c r="B22" s="10" t="s">
        <x:v>1678</x:v>
      </x:c>
      <x:c r="C22" s="10" t="s">
        <x:v>1679</x:v>
      </x:c>
      <x:c r="D22" s="10" t="s">
        <x:v>1680</x:v>
      </x:c>
      <x:c r="E22" s="10" t="s">
        <x:v>1681</x:v>
      </x:c>
      <x:c r="F22" s="10" t="s">
        <x:v>1682</x:v>
      </x:c>
      <x:c r="G22" s="10" t="s">
        <x:v>1671</x:v>
      </x:c>
    </x:row>
    <x:row r="23">
      <x:c r="A23" t="s">
        <x:v>1683</x:v>
      </x:c>
      <x:c r="B23" t="s">
        <x:v>1684</x:v>
      </x:c>
      <x:c r="C23" t="s">
        <x:v>1685</x:v>
      </x:c>
      <x:c r="D23" t="s">
        <x:v>1686</x:v>
      </x:c>
      <x:c r="E23" t="s">
        <x:v>1687</x:v>
      </x:c>
      <x:c r="F23" t="s">
        <x:v>1688</x:v>
      </x:c>
      <x:c r="G23" t="s">
        <x:v>1689</x:v>
      </x:c>
    </x:row>
    <x:row r="24">
      <x:c r="A24" t="str">
        <x:v>P14-CLINIC-GOV</x:v>
      </x:c>
      <x:c r="B24" t="str">
        <x:v>Application clinic governance and initial privileged-account lifecycle</x:v>
      </x:c>
      <x:c r="C24" t="str">
        <x:v>A multi-clinic system needs a controlled application tenant lifecycle without creating separate ledgers, plus a safe initial system administrator and a required clinic administrator.</x:v>
      </x:c>
      <x:c r="D24" t="str">
        <x:v>The schema named Sys Admin and Organization concepts, but there was no system-only clinic UI/API, atomic required-admin creation, safe bootstrap command, or forced first-login password change.</x:v>
      </x:c>
      <x:c r="E24" t="str">
        <x:v>FR-01; FR-02; FR-03; SEC-01; SEC-05; multi-clinic onboarding</x:v>
      </x:c>
      <x:c r="F24" t="str">
        <x:v>Source and deployment infrastructure complete: atomic one-admin clinic creation, system-only lifecycle, inactive-clinic denial, deployment-only Sys Admin bootstrap, forced password replacement, protected UI, migration, focused tests, healthy services, and endpoint/auth-guard checks.</x:v>
      </x:c>
      <x:c r="G24" t="str">
        <x:v>Initial Sys Admin bootstrap and authenticated role/isolation workflow evidence remain pending. A new Clinic Admin still requires enrollment of its clinic-bound Fabric wallet identity in the existing Fabric organization; no new blockchain or Fabric organization is created.</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9.140625" style="3" customWidth="0"/>
    <x:col min="2" max="2" width="58.42578125" style="3" customWidth="1"/>
    <x:col min="3" max="7" width="34.28515625" style="3" customWidth="1"/>
    <x:col min="8" max="16384" width="9.140625" style="3" customWidth="0"/>
  </x:cols>
  <x:sheetData>
    <x:row r="2" ht="21">
      <x:c r="B2" s="86" t="str">
        <x:v>Remediation Classification Summary — Through Phase 14 Deployment Infrastructure</x:v>
      </x:c>
      <x:c r="C2" s="86"/>
      <x:c r="D2" s="86"/>
      <x:c r="E2" s="86"/>
      <x:c r="F2" s="86"/>
      <x:c r="G2" s="86"/>
    </x:row>
    <x:row r="3">
      <x:c r="B3" s="87" t="s">
        <x:v>1690</x:v>
      </x:c>
      <x:c r="C3" s="87"/>
      <x:c r="D3" s="87"/>
      <x:c r="E3" s="87"/>
      <x:c r="F3" s="87"/>
      <x:c r="G3" s="87"/>
    </x:row>
    <x:row r="4">
      <x:c r="B4" s="13"/>
      <x:c r="C4" s="13"/>
      <x:c r="D4" s="13"/>
      <x:c r="E4" s="13"/>
      <x:c r="F4" s="13"/>
      <x:c r="G4" s="13"/>
    </x:row>
    <x:row r="5">
      <x:c r="B5" s="26" t="s">
        <x:v>29</x:v>
      </x:c>
      <x:c r="C5" s="26" t="s">
        <x:v>9</x:v>
      </x:c>
      <x:c r="D5" s="26" t="s">
        <x:v>1691</x:v>
      </x:c>
      <x:c r="E5" s="13"/>
      <x:c r="F5" s="13"/>
      <x:c r="G5" s="13"/>
    </x:row>
    <x:row r="6" ht="45">
      <x:c r="B6" s="14" t="s">
        <x:v>39</x:v>
      </x:c>
      <x:c r="C6" s="20" t="n">
        <x:f>COUNTIF('Changes'!$H$2:$H$400,B6)</x:f>
        <x:v>60</x:v>
      </x:c>
      <x:c r="D6" s="15" t="s">
        <x:v>1692</x:v>
      </x:c>
      <x:c r="E6" s="13"/>
      <x:c r="F6" s="13"/>
      <x:c r="G6" s="13"/>
    </x:row>
    <x:row r="7" ht="45">
      <x:c r="B7" s="16" t="s">
        <x:v>82</x:v>
      </x:c>
      <x:c r="C7" s="21" t="n">
        <x:f>COUNTIF('Changes'!$H$2:$H$400,B7)</x:f>
        <x:v>54</x:v>
      </x:c>
      <x:c r="D7" s="17" t="s">
        <x:v>1693</x:v>
      </x:c>
      <x:c r="E7" s="13"/>
      <x:c r="F7" s="13"/>
      <x:c r="G7" s="13"/>
    </x:row>
    <x:row r="8" ht="45">
      <x:c r="B8" s="16" t="s">
        <x:v>64</x:v>
      </x:c>
      <x:c r="C8" s="21" t="n">
        <x:f>COUNTIF('Changes'!$H$2:$H$400,B8)</x:f>
        <x:v>18</x:v>
      </x:c>
      <x:c r="D8" s="17" t="s">
        <x:v>1694</x:v>
      </x:c>
      <x:c r="E8" s="13"/>
      <x:c r="F8" s="13"/>
      <x:c r="G8" s="13"/>
    </x:row>
    <x:row r="9" ht="60">
      <x:c r="B9" s="18" t="s">
        <x:v>345</x:v>
      </x:c>
      <x:c r="C9" s="22" t="n">
        <x:f>COUNTIF('Changes'!$H$2:$H$400,B9)</x:f>
        <x:v>38</x:v>
      </x:c>
      <x:c r="D9" s="19" t="s">
        <x:v>1695</x:v>
      </x:c>
      <x:c r="E9" s="13"/>
      <x:c r="F9" s="13"/>
      <x:c r="G9" s="13"/>
    </x:row>
    <x:row r="10">
      <x:c r="B10" s="13"/>
      <x:c r="C10" s="13"/>
      <x:c r="D10" s="13"/>
      <x:c r="E10" s="13"/>
      <x:c r="F10" s="13"/>
      <x:c r="G10" s="13"/>
    </x:row>
    <x:row r="11">
      <x:c r="B11" s="26" t="s">
        <x:v>1696</x:v>
      </x:c>
      <x:c r="C11" s="26" t="s">
        <x:v>39</x:v>
      </x:c>
      <x:c r="D11" s="26" t="s">
        <x:v>82</x:v>
      </x:c>
      <x:c r="E11" s="26" t="s">
        <x:v>64</x:v>
      </x:c>
      <x:c r="F11" s="26" t="s">
        <x:v>345</x:v>
      </x:c>
      <x:c r="G11" s="26" t="s">
        <x:v>1697</x:v>
      </x:c>
    </x:row>
    <x:row r="12">
      <x:c r="B12" s="14" t="s">
        <x:v>40</x:v>
      </x:c>
      <x:c r="C12" s="20" t="n">
        <x:f>COUNTIFS(Changes!$I$2:$I$123,$B12,Changes!$H$2:$H$123,C$11)</x:f>
        <x:v>45</x:v>
      </x:c>
      <x:c r="D12" s="20" t="n">
        <x:f>COUNTIFS(Changes!$I$2:$I$123,$B12,Changes!$H$2:$H$123,D$11)</x:f>
        <x:v>6</x:v>
      </x:c>
      <x:c r="E12" s="20" t="n">
        <x:f>COUNTIFS(Changes!$I$2:$I$123,$B12,Changes!$H$2:$H$123,E$11)</x:f>
        <x:v>8</x:v>
      </x:c>
      <x:c r="F12" s="20" t="n">
        <x:f>COUNTIFS(Changes!$I$2:$I$123,$B12,Changes!$H$2:$H$123,F$11)</x:f>
        <x:v>7</x:v>
      </x:c>
      <x:c r="G12" s="23" t="n">
        <x:f t="shared" ref="G12:G17" si="0">SUM(C12:F12)</x:f>
        <x:v>66</x:v>
      </x:c>
    </x:row>
    <x:row r="13">
      <x:c r="B13" s="16" t="s">
        <x:v>238</x:v>
      </x:c>
      <x:c r="C13" s="21" t="n">
        <x:f>COUNTIFS(Changes!$I$2:$I$123,$B13,Changes!$H$2:$H$123,C$11)</x:f>
        <x:v>3</x:v>
      </x:c>
      <x:c r="D13" s="21" t="n">
        <x:f>COUNTIFS(Changes!$I$2:$I$123,$B13,Changes!$H$2:$H$123,D$11)</x:f>
        <x:v>10</x:v>
      </x:c>
      <x:c r="E13" s="21" t="n">
        <x:f>COUNTIFS(Changes!$I$2:$I$123,$B13,Changes!$H$2:$H$123,E$11)</x:f>
        <x:v>0</x:v>
      </x:c>
      <x:c r="F13" s="21" t="n">
        <x:f>COUNTIFS(Changes!$I$2:$I$123,$B13,Changes!$H$2:$H$123,F$11)</x:f>
        <x:v>3</x:v>
      </x:c>
      <x:c r="G13" s="24">
        <x:f t="shared" si="0"/>
        <x:v>16</x:v>
      </x:c>
    </x:row>
    <x:row r="14">
      <x:c r="B14" s="16" t="s">
        <x:v>560</x:v>
      </x:c>
      <x:c r="C14" s="21" t="n">
        <x:f>COUNTIFS(Changes!$I$2:$I$123,$B14,Changes!$H$2:$H$123,C$11)</x:f>
        <x:v>0</x:v>
      </x:c>
      <x:c r="D14" s="21" t="n">
        <x:f>COUNTIFS(Changes!$I$2:$I$123,$B14,Changes!$H$2:$H$123,D$11)</x:f>
        <x:v>3</x:v>
      </x:c>
      <x:c r="E14" s="21" t="n">
        <x:f>COUNTIFS(Changes!$I$2:$I$123,$B14,Changes!$H$2:$H$123,E$11)</x:f>
        <x:v>0</x:v>
      </x:c>
      <x:c r="F14" s="21" t="n">
        <x:f>COUNTIFS(Changes!$I$2:$I$123,$B14,Changes!$H$2:$H$123,F$11)</x:f>
        <x:v>1</x:v>
      </x:c>
      <x:c r="G14" s="24">
        <x:f t="shared" si="0"/>
        <x:v>4</x:v>
      </x:c>
    </x:row>
    <x:row r="15">
      <x:c r="B15" s="16" t="s">
        <x:v>295</x:v>
      </x:c>
      <x:c r="C15" s="21" t="n">
        <x:f>COUNTIFS(Changes!$I$2:$I$123,$B15,Changes!$H$2:$H$123,C$11)</x:f>
        <x:v>0</x:v>
      </x:c>
      <x:c r="D15" s="21" t="n">
        <x:f>COUNTIFS(Changes!$I$2:$I$123,$B15,Changes!$H$2:$H$123,D$11)</x:f>
        <x:v>2</x:v>
      </x:c>
      <x:c r="E15" s="21" t="n">
        <x:f>COUNTIFS(Changes!$I$2:$I$123,$B15,Changes!$H$2:$H$123,E$11)</x:f>
        <x:v>1</x:v>
      </x:c>
      <x:c r="F15" s="21" t="n">
        <x:f>COUNTIFS(Changes!$I$2:$I$123,$B15,Changes!$H$2:$H$123,F$11)</x:f>
        <x:v>1</x:v>
      </x:c>
      <x:c r="G15" s="24">
        <x:f t="shared" si="0"/>
        <x:v>4</x:v>
      </x:c>
    </x:row>
    <x:row r="16">
      <x:c r="B16" s="16" t="s">
        <x:v>314</x:v>
      </x:c>
      <x:c r="C16" s="21" t="n">
        <x:f>COUNTIFS(Changes!$I$2:$I$123,$B16,Changes!$H$2:$H$123,C$11)</x:f>
        <x:v>0</x:v>
      </x:c>
      <x:c r="D16" s="21" t="n">
        <x:f>COUNTIFS(Changes!$I$2:$I$123,$B16,Changes!$H$2:$H$123,D$11)</x:f>
        <x:v>5</x:v>
      </x:c>
      <x:c r="E16" s="21" t="n">
        <x:f>COUNTIFS(Changes!$I$2:$I$123,$B16,Changes!$H$2:$H$123,E$11)</x:f>
        <x:v>0</x:v>
      </x:c>
      <x:c r="F16" s="21" t="n">
        <x:f>COUNTIFS(Changes!$I$2:$I$123,$B16,Changes!$H$2:$H$123,F$11)</x:f>
        <x:v>1</x:v>
      </x:c>
      <x:c r="G16" s="24">
        <x:f t="shared" si="0"/>
        <x:v>6</x:v>
      </x:c>
    </x:row>
    <x:row r="17">
      <x:c r="B17" s="16" t="s">
        <x:v>586</x:v>
      </x:c>
      <x:c r="C17" s="21" t="n">
        <x:f>COUNTIFS(Changes!$I$2:$I$123,$B17,Changes!$H$2:$H$123,C$11)</x:f>
        <x:v>0</x:v>
      </x:c>
      <x:c r="D17" s="21" t="n">
        <x:f>COUNTIFS(Changes!$I$2:$I$123,$B17,Changes!$H$2:$H$123,D$11)</x:f>
        <x:v>6</x:v>
      </x:c>
      <x:c r="E17" s="21" t="n">
        <x:f>COUNTIFS(Changes!$I$2:$I$123,$B17,Changes!$H$2:$H$123,E$11)</x:f>
        <x:v>2</x:v>
      </x:c>
      <x:c r="F17" s="21" t="n">
        <x:f>COUNTIFS(Changes!$I$2:$I$123,$B17,Changes!$H$2:$H$123,F$11)</x:f>
        <x:v>1</x:v>
      </x:c>
      <x:c r="G17" s="24">
        <x:f t="shared" si="0"/>
        <x:v>9</x:v>
      </x:c>
    </x:row>
    <x:row r="18">
      <x:c r="B18" s="16" t="s">
        <x:v>655</x:v>
      </x:c>
      <x:c r="C18" s="21">
        <x:v>0</x:v>
      </x:c>
      <x:c r="D18" s="21">
        <x:v>4</x:v>
      </x:c>
      <x:c r="E18" s="21">
        <x:v>2</x:v>
      </x:c>
      <x:c r="F18" s="21">
        <x:v>3</x:v>
      </x:c>
      <x:c r="G18" s="24">
        <x:v>9</x:v>
      </x:c>
    </x:row>
    <x:row r="19">
      <x:c r="B19" s="16" t="s">
        <x:v>721</x:v>
      </x:c>
      <x:c r="C19" s="21" t="n">
        <x:f>COUNTIFS(Changes!$I$2:$I$123,$B19,Changes!$H$2:$H$123,C$11)</x:f>
        <x:v>0</x:v>
      </x:c>
      <x:c r="D19" s="21" t="n">
        <x:f>COUNTIFS(Changes!$I$2:$I$123,$B19,Changes!$H$2:$H$123,D$11)</x:f>
        <x:v>4</x:v>
      </x:c>
      <x:c r="E19" s="21" t="n">
        <x:f>COUNTIFS(Changes!$I$2:$I$123,$B19,Changes!$H$2:$H$123,E$11)</x:f>
        <x:v>1</x:v>
      </x:c>
      <x:c r="F19" s="21" t="n">
        <x:f>COUNTIFS(Changes!$I$2:$I$123,$B19,Changes!$H$2:$H$123,F$11)</x:f>
        <x:v>3</x:v>
      </x:c>
      <x:c r="G19" s="24" t="n">
        <x:f>SUM(C19:F19)</x:f>
        <x:v>8</x:v>
      </x:c>
    </x:row>
    <x:row r="20">
      <x:c r="B20" s="16" t="s">
        <x:v>777</x:v>
      </x:c>
      <x:c r="C20" s="21">
        <x:v>4</x:v>
      </x:c>
      <x:c r="D20" s="21">
        <x:v>3</x:v>
      </x:c>
      <x:c r="E20" s="21">
        <x:v>1</x:v>
      </x:c>
      <x:c r="F20" s="21">
        <x:v>3</x:v>
      </x:c>
      <x:c r="G20" s="24">
        <x:v>11</x:v>
      </x:c>
    </x:row>
    <x:row r="21">
      <x:c r="B21" s="16" t="s">
        <x:v>1021</x:v>
      </x:c>
      <x:c r="C21" s="21">
        <x:v>3</x:v>
      </x:c>
      <x:c r="D21" s="21">
        <x:v>0</x:v>
      </x:c>
      <x:c r="E21" s="21">
        <x:v>1</x:v>
      </x:c>
      <x:c r="F21" s="21">
        <x:v>1</x:v>
      </x:c>
      <x:c r="G21" s="24">
        <x:v>5</x:v>
      </x:c>
    </x:row>
    <x:row r="22">
      <x:c r="B22" s="16" t="s">
        <x:v>964</x:v>
      </x:c>
      <x:c r="C22" s="21">
        <x:v>1</x:v>
      </x:c>
      <x:c r="D22" s="21">
        <x:v>1</x:v>
      </x:c>
      <x:c r="E22" s="21">
        <x:v>1</x:v>
      </x:c>
      <x:c r="F22" s="21">
        <x:v>4</x:v>
      </x:c>
      <x:c r="G22" s="24">
        <x:v>7</x:v>
      </x:c>
    </x:row>
    <x:row r="23">
      <x:c r="B23" s="78" t="s">
        <x:v>1060</x:v>
      </x:c>
      <x:c r="C23" s="79">
        <x:v>3</x:v>
      </x:c>
      <x:c r="D23" s="79">
        <x:v>0</x:v>
      </x:c>
      <x:c r="E23" s="79">
        <x:v>0</x:v>
      </x:c>
      <x:c r="F23" s="79">
        <x:v>2</x:v>
      </x:c>
      <x:c r="G23" s="79">
        <x:v>5</x:v>
      </x:c>
    </x:row>
    <x:row r="24" ht="18" customHeight="1">
      <x:c r="B24" s="93" t="str">
        <x:v>Phase 14 - Application Clinic Governance</x:v>
      </x:c>
      <x:c r="C24" s="94" t="n">
        <x:v>0</x:v>
      </x:c>
      <x:c r="D24" s="94" t="n">
        <x:v>4</x:v>
      </x:c>
      <x:c r="E24" s="94" t="n">
        <x:v>0</x:v>
      </x:c>
      <x:c r="F24" s="94" t="n">
        <x:v>3</x:v>
      </x:c>
      <x:c r="G24" s="94" t="n">
        <x:v>7</x:v>
      </x:c>
    </x:row>
    <x:row r="25">
      <x:c r="B25" s="85"/>
      <x:c r="C25" s="85"/>
      <x:c r="D25" s="85"/>
      <x:c r="E25" s="85"/>
      <x:c r="F25" s="85"/>
      <x:c r="G25" s="85"/>
    </x:row>
    <x:row r="26">
      <x:c r="B26" s="81" t="s">
        <x:v>1698</x:v>
      </x:c>
      <x:c r="C26" s="81"/>
      <x:c r="D26" s="81"/>
      <x:c r="E26" s="81"/>
      <x:c r="F26" s="81"/>
      <x:c r="G26" s="81"/>
    </x:row>
    <x:row r="27">
      <x:c r="B27" s="81" t="s">
        <x:v>1699</x:v>
      </x:c>
      <x:c r="C27" s="81"/>
      <x:c r="D27" s="81"/>
      <x:c r="E27" s="81"/>
      <x:c r="F27" s="81"/>
      <x:c r="G27" s="81"/>
    </x:row>
    <x:row r="28">
      <x:c r="B28" t="s">
        <x:v>1700</x:v>
      </x:c>
      <x:c r="C28"/>
      <x:c r="D28"/>
      <x:c r="E28"/>
      <x:c r="F28"/>
      <x:c r="G28"/>
    </x:row>
    <x:row r="29">
      <x:c r="B29" t="s">
        <x:v>1701</x:v>
      </x:c>
      <x:c r="C29"/>
      <x:c r="D29"/>
      <x:c r="E29"/>
      <x:c r="F29"/>
      <x:c r="G29"/>
    </x:row>
    <x:row r="30">
      <x:c r="B30" t="s">
        <x:v>1702</x:v>
      </x:c>
      <x:c r="C30"/>
      <x:c r="D30"/>
      <x:c r="E30"/>
      <x:c r="F30"/>
      <x:c r="G30"/>
    </x:row>
  </x:sheetData>
  <x:mergeCells>
    <x:mergeCell ref="B25:G25"/>
    <x:mergeCell ref="B26:G26"/>
    <x:mergeCell ref="B27:G27"/>
    <x:mergeCell ref="B2:G2"/>
    <x:mergeCell ref="B3:G3"/>
  </x:mergeCells>
  <x:pageMargins left="0.7" right="0.7" top="0.75" bottom="0.75" header="0.3" footer="0.3"/>
</x:worksheet>
</file>